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d\Documents\"/>
    </mc:Choice>
  </mc:AlternateContent>
  <xr:revisionPtr revIDLastSave="0" documentId="8_{1516BAA7-E27E-4D24-8483-3BD27C929A3A}" xr6:coauthVersionLast="47" xr6:coauthVersionMax="47" xr10:uidLastSave="{00000000-0000-0000-0000-000000000000}"/>
  <bookViews>
    <workbookView xWindow="-108" yWindow="-108" windowWidth="23256" windowHeight="12576" xr2:uid="{9DD78328-DFB9-4001-94DE-C0131B364536}"/>
  </bookViews>
  <sheets>
    <sheet name="3" sheetId="1" r:id="rId1"/>
  </sheets>
  <externalReferences>
    <externalReference r:id="rId2"/>
  </externalReferences>
  <definedNames>
    <definedName name="_xlnm._FilterDatabase" localSheetId="0" hidden="1">'3'!$A$3:$M$103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4" i="1" l="1"/>
  <c r="I104" i="1"/>
  <c r="H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G56" i="1"/>
  <c r="G54" i="1"/>
  <c r="L36" i="1"/>
  <c r="L34" i="1"/>
  <c r="L33" i="1"/>
  <c r="L104" i="1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A1" i="1"/>
  <c r="M21" i="1" l="1"/>
  <c r="M20" i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104" i="1"/>
</calcChain>
</file>

<file path=xl/sharedStrings.xml><?xml version="1.0" encoding="utf-8"?>
<sst xmlns="http://schemas.openxmlformats.org/spreadsheetml/2006/main" count="321" uniqueCount="116">
  <si>
    <t>التاريخ</t>
  </si>
  <si>
    <t>البيان</t>
  </si>
  <si>
    <t>السند</t>
  </si>
  <si>
    <t>اسم المشروع</t>
  </si>
  <si>
    <t>التصنيف الداخلي</t>
  </si>
  <si>
    <t>الكمية</t>
  </si>
  <si>
    <t>السعر</t>
  </si>
  <si>
    <t>نوع الدفعة</t>
  </si>
  <si>
    <t>رقم الشيك</t>
  </si>
  <si>
    <t>تاريخ الشيك</t>
  </si>
  <si>
    <t>مدين ( دفعات للمقاول )</t>
  </si>
  <si>
    <t>دائن ( مستخلص المقاول )</t>
  </si>
  <si>
    <t xml:space="preserve">الرصيد </t>
  </si>
  <si>
    <t xml:space="preserve">دفعة نقدا عن توريدات خامات مشروع نسيم اعمال المكاتب </t>
  </si>
  <si>
    <t>PV 5512</t>
  </si>
  <si>
    <t>CIB</t>
  </si>
  <si>
    <t>545485056</t>
  </si>
  <si>
    <t xml:space="preserve">دفعة بشيك عن توريد خامات ارض ياسر سعودي عوض عيد دومه </t>
  </si>
  <si>
    <t>PV 5515</t>
  </si>
  <si>
    <t>مشروع سعودي</t>
  </si>
  <si>
    <t>45485065</t>
  </si>
  <si>
    <t>دفعة نقدا عن مستخلص 3 اعمال السور والتشطيبات ياسر سعودي</t>
  </si>
  <si>
    <t>PV 5518</t>
  </si>
  <si>
    <t>نقدا</t>
  </si>
  <si>
    <t>***</t>
  </si>
  <si>
    <t>دفعة نقدا عن مستخلص 4 اعمال السور والتشطيبات ياسر سعودي</t>
  </si>
  <si>
    <t>PV 5525</t>
  </si>
  <si>
    <t xml:space="preserve">حساب مستخلص رقم 2 توريدات مواد بناء لاعمال مكاتب الشركة في ارض الثروة الخضراء شارع 5 كموند نسيم </t>
  </si>
  <si>
    <t>PV 5537</t>
  </si>
  <si>
    <t>مشروع نسيم</t>
  </si>
  <si>
    <t>دفعة نقدا عن مستخلص 5 اعمال السور والتشطيبات ياسر سعودي</t>
  </si>
  <si>
    <t>PV 5545</t>
  </si>
  <si>
    <t xml:space="preserve">نقدا عن مستخلص رقم 6 لاعمال توريدات وتشطيبات سور ياسر سعودي شارع 6 عوض عيد </t>
  </si>
  <si>
    <t xml:space="preserve">دفعة نقدا عن توريدات مشروع نسيم اعمال المكاتب </t>
  </si>
  <si>
    <t>PV 8814</t>
  </si>
  <si>
    <t xml:space="preserve">نقدا عن مستخلص رقم 7 لاعمال ياسر سعودي (السور +التشطيبات ) ارض الثورة الخضراء شارع 6 عوض عيد دومه </t>
  </si>
  <si>
    <t xml:space="preserve">توريد طوب مصمت 280 الف * 2.72 جنيه مشروع نسيم </t>
  </si>
  <si>
    <t>INV 3</t>
  </si>
  <si>
    <t>فاتورة</t>
  </si>
  <si>
    <t xml:space="preserve">دفعة شيك عن توريد طوب مصمت 280 الف * 2.72 جنيه مشروع نسيم </t>
  </si>
  <si>
    <t>PV 8820</t>
  </si>
  <si>
    <t>545485127</t>
  </si>
  <si>
    <t>PV 8823</t>
  </si>
  <si>
    <t>ADIB</t>
  </si>
  <si>
    <t>64201403818328</t>
  </si>
  <si>
    <t>PV 8923</t>
  </si>
  <si>
    <t>KFH</t>
  </si>
  <si>
    <t>9769312</t>
  </si>
  <si>
    <t>نقدا ليد عوض عيد عن مستخلص نسيم 8600</t>
  </si>
  <si>
    <t>PV 8928</t>
  </si>
  <si>
    <t>نقدا ليد عوض عيد عن باقي المستخلص القديم م نسيم</t>
  </si>
  <si>
    <t xml:space="preserve"> توريد اسمنت وطوب دبل ومصمت وحديد مبني المبيعات مشروع نسيم عوض عيد دومه </t>
  </si>
  <si>
    <t>inv</t>
  </si>
  <si>
    <t xml:space="preserve">مستخلص </t>
  </si>
  <si>
    <t xml:space="preserve">شيك عن توريد اسمنت وطوب دبل ومصمت وحديد مبني المبيعات مشروع نسيم عوض عيد دومه </t>
  </si>
  <si>
    <t xml:space="preserve">شيك </t>
  </si>
  <si>
    <t>64201403818332</t>
  </si>
  <si>
    <t>اسمنت خرسانات للفيلا 2 طن * 4350 ونقلة سن 2 * 1600 وطوب اتوماتيك 6 الاف * 2950 مشروع سعودي المورد عوض عيد</t>
  </si>
  <si>
    <t>INV 7</t>
  </si>
  <si>
    <t>اسمنت بني سويف لزوم المباني مشروع نسيم مبنى المبيعات 1 طن * 4350 المورد عوض عيد</t>
  </si>
  <si>
    <t>INV 11</t>
  </si>
  <si>
    <t>نقدا عن اسمنت خرسانات للفيلا 2 طن * 4350 ونقلة سن 2 * 1600 وطوب اتوماتيك 6 الاف * 2950 مشروع سعودي المورد عوض عيد</t>
  </si>
  <si>
    <t>PV 6690</t>
  </si>
  <si>
    <t>نقدا عن اسمنت بني سويف لزوم المباني مشروع نسيم مبنى المبيعات 1 طن * 4350 المورد عوض عيد</t>
  </si>
  <si>
    <t>PV 6691</t>
  </si>
  <si>
    <t xml:space="preserve">عدد 2 طن اسمنت خرسانات و6 الف طوب اوتوماتيك مشروع سعودي عوض عيد </t>
  </si>
  <si>
    <t>INV 20</t>
  </si>
  <si>
    <t xml:space="preserve">عدد 3 طن اسمنت بني سويف 42.5 لزوم المباني مشروع نسيم الحاج عوض </t>
  </si>
  <si>
    <t>INV 21</t>
  </si>
  <si>
    <t xml:space="preserve">نقدا عن عدد 2 طن اسمنت خرسانات و6 الف طوب اوتوماتيك مشروع سعودي عوض عيد </t>
  </si>
  <si>
    <t>PV 9041</t>
  </si>
  <si>
    <t xml:space="preserve">نقدا عن عدد 3 طن اسمنت بني سويف 42.5 لزوم المباني مشروع نسيم الحاج عوض </t>
  </si>
  <si>
    <t xml:space="preserve">مستخلص توريدات اسمنت وطوب احمر مبني المبيعات مشروع نسيم الحاج عوض </t>
  </si>
  <si>
    <t>INV 23</t>
  </si>
  <si>
    <t xml:space="preserve">مبني المبيعات </t>
  </si>
  <si>
    <t xml:space="preserve">تحويل بنكي عن مستخلص توريدات اسمنت وطوب احمر مبني المبيعات مشروع نسيم الحاج عوض </t>
  </si>
  <si>
    <t>PV 9092</t>
  </si>
  <si>
    <t xml:space="preserve">مستخلص توريدات (4 طن اسمنت +الف طوب احمر ) مشروع نسيم الحاج عوض </t>
  </si>
  <si>
    <t>INV 27</t>
  </si>
  <si>
    <t xml:space="preserve">نقدا عن مستخلص توريدات (4 طن اسمنت +الف طوب احمر ) مشروع نسيم الحاج عوض </t>
  </si>
  <si>
    <t>PV 9160</t>
  </si>
  <si>
    <t xml:space="preserve">مستخلص توريد 3 طن اسمنت بني سويف مبني المبيعات مشروع نسيم عوض عيد </t>
  </si>
  <si>
    <t>INV 30</t>
  </si>
  <si>
    <t xml:space="preserve">نقدا عن مستخلص توريد 3 طن اسمنت بني سويف مبني المبيعات مشروع نسيم عوض عيد </t>
  </si>
  <si>
    <t>PV 9225</t>
  </si>
  <si>
    <t xml:space="preserve">مستخلص توريدان طن اسمنت بني سويف مبني المبيعات مشروع نسيم الحاج عوض عيد </t>
  </si>
  <si>
    <t>INV 34</t>
  </si>
  <si>
    <t xml:space="preserve">نقدا عن مستخلص توريدان طن اسمنت بني سويف مبني المبيعات مشروع نسيم الحاج عوض عيد </t>
  </si>
  <si>
    <t>PV 9349</t>
  </si>
  <si>
    <t xml:space="preserve">مستخلص توريد طن اسمنت مبني المبيعات مشروع نسيم عوض عيد </t>
  </si>
  <si>
    <t>INV 37</t>
  </si>
  <si>
    <t xml:space="preserve">نقدا عن مستخلص توريد طن اسمنت مبني المبيعات مشروع نسيم عوض عيد </t>
  </si>
  <si>
    <t>PV 9568</t>
  </si>
  <si>
    <t>INV 38</t>
  </si>
  <si>
    <t>PV 9669</t>
  </si>
  <si>
    <t xml:space="preserve">مستخلص توريدات اسمنت وحديد مشروع سعودي (علي حساب ياسر سعودي ) / عوض عيد </t>
  </si>
  <si>
    <t xml:space="preserve">مشروع سعودي </t>
  </si>
  <si>
    <t xml:space="preserve">ياسر سعودي </t>
  </si>
  <si>
    <t xml:space="preserve">نقدا عن مستخلص توريدات اسمنت وحديد مشروع سعودي (علي حساب ياسر سعودي ) / عوض عيد </t>
  </si>
  <si>
    <t xml:space="preserve">مستخلص توريدات اسمنت وطوب مصمت مشروع سعودي (علي حساب ياسر سعودي ) / عوض عيد </t>
  </si>
  <si>
    <t xml:space="preserve">نقدا عن مستخلص توريدات اسمنت وطوب مصمت مشروع سعودي (علي حساب ياسر سعودي ) / عوض عيد </t>
  </si>
  <si>
    <t>مستخلص توريدات عدد 1طن اسمنت  مشروع سعودي /عوض عيد  (تحمل علي حساب ياسر سعودي )</t>
  </si>
  <si>
    <t>مستخلص توريدات عدد 2 طن اسمنت و6 الاف طوبه مشروع سعودي /عوض عيد  (تحمل علي حساب ياسر سعودي )</t>
  </si>
  <si>
    <t>نقدا عن مستخلص توريدات عدد 1طن اسمنت  مشروع سعودي /عوض عيد  (تحمل علي حساب ياسر سعودي )</t>
  </si>
  <si>
    <t>نقدا عن مستخلص توريدات عدد 2 طن اسمنت و6 الاف طوبه مشروع سعودي /عوض عيد  (تحمل علي حساب ياسر سعودي )</t>
  </si>
  <si>
    <t xml:space="preserve">مستخلص توريدات عدد ربع طن اسمنت مشروع توباظ عوض عيد </t>
  </si>
  <si>
    <t>مشروع توباظ</t>
  </si>
  <si>
    <t xml:space="preserve">نقدا عن مستخلص توريدات عدد ربع طن اسمنت مشروع توباظ عوض عيد </t>
  </si>
  <si>
    <t xml:space="preserve">مستخلص توريدات عدد 3 طن اسمنت مشروع سعودي عوض عيد </t>
  </si>
  <si>
    <t xml:space="preserve">نقد عن مستخلص توريدات عدد 3 طن اسمنت مشروع سعودي عوض عيد </t>
  </si>
  <si>
    <t xml:space="preserve">مستخلص توريدات عدد 3طن اسمنت *4,350ج مشروع سعودي عوض عيد </t>
  </si>
  <si>
    <t xml:space="preserve">نقدا عن مستخلص توريدات عدد 3طن اسمنت *4,350ج مشروع سعودي عوض عيد </t>
  </si>
  <si>
    <t xml:space="preserve">مستخلص توريدات طن اسمنت *4,350ج وعدد2 الف طوبة *3,350ج مشروع سعودي /عوض عيد </t>
  </si>
  <si>
    <t xml:space="preserve">نقدا عن مستخلص توريدات طن اسمنت *4,350ج وعدد2 الف طوبة *3,350ج مشروع سعودي /عوض عيد </t>
  </si>
  <si>
    <t>مستخلص توريدات عدد 56 الف طوبه *3,300ج مشروع نسيم عوض عيد</t>
  </si>
  <si>
    <t>نقدا عن مستخلص توريدات عدد 56 الف طوبه *3,300ج مشروع نسيم عوض عيد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</si>
</sst>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_-* #,##0.00_-;_-* #,##0.00\-;_-* &quot;-&quot;??_-;_-@_-"/>
    <numFmt numFmtId="166" formatCode="_-* #,##0_-;_-* #,##0\-;_-* &quot;-&quot;??_-;_-@_-"/>
  </numFmts>
  <fonts count="19" x14ac:knownFonts="1">
    <font>
      <sz val="10"/>
      <name val="Arial"/>
      <family val="2"/>
    </font>
    <font>
      <sz val="10"/>
      <name val="Arial"/>
      <family val="2"/>
    </font>
    <font>
      <b/>
      <sz val="20"/>
      <name val="Cambria"/>
      <family val="1"/>
      <scheme val="major"/>
    </font>
    <font>
      <b/>
      <sz val="16"/>
      <name val="Cambria"/>
      <family val="1"/>
      <scheme val="major"/>
    </font>
    <font>
      <b/>
      <sz val="14"/>
      <name val="Cambria"/>
      <family val="1"/>
      <scheme val="major"/>
    </font>
    <font>
      <b/>
      <sz val="18"/>
      <name val="Cambria"/>
      <family val="1"/>
      <scheme val="major"/>
    </font>
    <font>
      <sz val="16"/>
      <name val="Arial"/>
      <family val="2"/>
    </font>
    <font>
      <sz val="14"/>
      <name val="Arial"/>
      <family val="2"/>
    </font>
    <font>
      <sz val="20"/>
      <name val="Arial"/>
      <family val="2"/>
    </font>
    <font>
      <sz val="18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b/>
      <u/>
      <sz val="16"/>
      <color theme="1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u/>
      <sz val="16"/>
      <color theme="1"/>
      <name val="Arial"/>
      <family val="2"/>
    </font>
    <font>
      <b/>
      <sz val="14"/>
      <name val="Arial"/>
      <family val="2"/>
    </font>
    <font>
      <b/>
      <u/>
      <sz val="18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lightGray">
        <fgColor rgb="FFFF0000"/>
      </patternFill>
    </fill>
    <fill>
      <patternFill patternType="lightGray">
        <fgColor rgb="FFFF0000"/>
        <bgColor auto="1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/>
      <top style="double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double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 style="double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 style="double">
        <color rgb="FFFF000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5" fontId="1" fillId="0" borderId="0" applyFont="0" applyFill="0" applyBorder="0" applyAlignment="0" applyProtection="0"/>
  </cellStyleXfs>
  <cellXfs count="109">
    <xf numFmtId="0" fontId="0" fillId="0" borderId="0" xfId="0"/>
    <xf numFmtId="0" fontId="2" fillId="2" borderId="1" xfId="0" applyFont="1" applyFill="1" applyBorder="1" applyAlignment="1">
      <alignment horizontal="centerContinuous" vertical="center" wrapText="1"/>
    </xf>
    <xf numFmtId="0" fontId="2" fillId="2" borderId="0" xfId="0" applyFont="1" applyFill="1" applyAlignment="1">
      <alignment horizontal="centerContinuous" vertical="center" wrapText="1"/>
    </xf>
    <xf numFmtId="0" fontId="3" fillId="2" borderId="0" xfId="0" applyFont="1" applyFill="1" applyAlignment="1">
      <alignment horizontal="centerContinuous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0" fillId="0" borderId="0" xfId="0" applyAlignment="1">
      <alignment horizontal="right" indent="2"/>
    </xf>
    <xf numFmtId="0" fontId="6" fillId="0" borderId="0" xfId="0" applyFont="1"/>
    <xf numFmtId="0" fontId="0" fillId="0" borderId="0" xfId="0" applyAlignment="1">
      <alignment horizontal="right" indent="1"/>
    </xf>
    <xf numFmtId="0" fontId="7" fillId="0" borderId="0" xfId="0" applyFont="1" applyAlignment="1">
      <alignment horizontal="center"/>
    </xf>
    <xf numFmtId="0" fontId="8" fillId="0" borderId="0" xfId="0" applyFont="1"/>
    <xf numFmtId="49" fontId="0" fillId="0" borderId="0" xfId="0" applyNumberFormat="1"/>
    <xf numFmtId="40" fontId="9" fillId="0" borderId="0" xfId="0" applyNumberFormat="1" applyFont="1"/>
    <xf numFmtId="40" fontId="6" fillId="0" borderId="0" xfId="0" applyNumberFormat="1" applyFont="1"/>
    <xf numFmtId="14" fontId="3" fillId="3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right" vertical="center" indent="1"/>
    </xf>
    <xf numFmtId="2" fontId="3" fillId="3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40" fontId="5" fillId="3" borderId="3" xfId="0" applyNumberFormat="1" applyFont="1" applyFill="1" applyBorder="1" applyAlignment="1">
      <alignment vertical="center"/>
    </xf>
    <xf numFmtId="40" fontId="3" fillId="3" borderId="3" xfId="0" applyNumberFormat="1" applyFont="1" applyFill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right" vertical="center" indent="1"/>
    </xf>
    <xf numFmtId="1" fontId="12" fillId="0" borderId="7" xfId="2" applyNumberFormat="1" applyFont="1" applyBorder="1" applyAlignment="1">
      <alignment horizontal="center" vertical="center"/>
    </xf>
    <xf numFmtId="0" fontId="0" fillId="0" borderId="8" xfId="0" applyBorder="1" applyAlignment="1">
      <alignment horizontal="right" vertical="center" indent="1"/>
    </xf>
    <xf numFmtId="0" fontId="0" fillId="0" borderId="8" xfId="0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165" fontId="13" fillId="0" borderId="7" xfId="1" applyFont="1" applyFill="1" applyBorder="1" applyAlignment="1">
      <alignment horizontal="center" vertical="center"/>
    </xf>
    <xf numFmtId="49" fontId="10" fillId="0" borderId="7" xfId="1" applyNumberFormat="1" applyFont="1" applyFill="1" applyBorder="1" applyAlignment="1">
      <alignment horizontal="center" vertical="center"/>
    </xf>
    <xf numFmtId="40" fontId="14" fillId="0" borderId="7" xfId="0" applyNumberFormat="1" applyFont="1" applyBorder="1" applyAlignment="1">
      <alignment vertical="center"/>
    </xf>
    <xf numFmtId="40" fontId="14" fillId="0" borderId="7" xfId="1" applyNumberFormat="1" applyFont="1" applyFill="1" applyBorder="1" applyAlignment="1">
      <alignment vertical="center"/>
    </xf>
    <xf numFmtId="40" fontId="15" fillId="0" borderId="7" xfId="3" applyNumberFormat="1" applyFont="1" applyFill="1" applyBorder="1" applyAlignment="1">
      <alignment vertical="center"/>
    </xf>
    <xf numFmtId="0" fontId="15" fillId="0" borderId="8" xfId="0" applyFont="1" applyBorder="1" applyAlignment="1">
      <alignment horizontal="right" vertical="center" indent="1"/>
    </xf>
    <xf numFmtId="1" fontId="16" fillId="0" borderId="7" xfId="2" applyNumberFormat="1" applyFont="1" applyBorder="1" applyAlignment="1">
      <alignment horizontal="center" vertical="center"/>
    </xf>
    <xf numFmtId="165" fontId="10" fillId="0" borderId="6" xfId="1" applyFont="1" applyFill="1" applyBorder="1" applyAlignment="1">
      <alignment horizontal="center" vertical="center" wrapText="1"/>
    </xf>
    <xf numFmtId="1" fontId="16" fillId="0" borderId="8" xfId="2" applyNumberFormat="1" applyFont="1" applyBorder="1" applyAlignment="1">
      <alignment horizontal="center" vertical="center"/>
    </xf>
    <xf numFmtId="165" fontId="10" fillId="0" borderId="7" xfId="1" applyFont="1" applyFill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center" vertical="center"/>
    </xf>
    <xf numFmtId="1" fontId="12" fillId="0" borderId="8" xfId="2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40" fontId="14" fillId="4" borderId="7" xfId="1" applyNumberFormat="1" applyFont="1" applyFill="1" applyBorder="1" applyAlignment="1">
      <alignment vertical="center"/>
    </xf>
    <xf numFmtId="164" fontId="10" fillId="0" borderId="7" xfId="0" applyNumberFormat="1" applyFont="1" applyBorder="1" applyAlignment="1">
      <alignment horizontal="center" vertical="center"/>
    </xf>
    <xf numFmtId="40" fontId="14" fillId="4" borderId="7" xfId="0" applyNumberFormat="1" applyFont="1" applyFill="1" applyBorder="1" applyAlignment="1">
      <alignment vertical="center"/>
    </xf>
    <xf numFmtId="0" fontId="10" fillId="0" borderId="7" xfId="0" applyFont="1" applyBorder="1" applyAlignment="1">
      <alignment horizontal="right" vertical="center" wrapText="1" indent="1"/>
    </xf>
    <xf numFmtId="0" fontId="15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 readingOrder="2"/>
    </xf>
    <xf numFmtId="49" fontId="10" fillId="0" borderId="7" xfId="0" applyNumberFormat="1" applyFont="1" applyBorder="1" applyAlignment="1">
      <alignment horizontal="center" vertical="center" wrapText="1" readingOrder="2"/>
    </xf>
    <xf numFmtId="40" fontId="14" fillId="0" borderId="7" xfId="3" applyNumberFormat="1" applyFont="1" applyFill="1" applyBorder="1" applyAlignment="1">
      <alignment vertical="center"/>
    </xf>
    <xf numFmtId="40" fontId="14" fillId="4" borderId="7" xfId="3" applyNumberFormat="1" applyFont="1" applyFill="1" applyBorder="1" applyAlignment="1">
      <alignment vertical="center"/>
    </xf>
    <xf numFmtId="49" fontId="10" fillId="0" borderId="7" xfId="0" applyNumberFormat="1" applyFont="1" applyBorder="1" applyAlignment="1">
      <alignment horizontal="center" vertical="center" wrapText="1"/>
    </xf>
    <xf numFmtId="14" fontId="10" fillId="5" borderId="6" xfId="0" applyNumberFormat="1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right" vertical="center" indent="1"/>
    </xf>
    <xf numFmtId="1" fontId="18" fillId="5" borderId="7" xfId="2" applyNumberFormat="1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right" vertical="center" indent="1"/>
    </xf>
    <xf numFmtId="0" fontId="17" fillId="5" borderId="9" xfId="0" applyFont="1" applyFill="1" applyBorder="1" applyAlignment="1">
      <alignment horizontal="center" vertical="center"/>
    </xf>
    <xf numFmtId="165" fontId="13" fillId="5" borderId="7" xfId="1" applyFont="1" applyFill="1" applyBorder="1" applyAlignment="1">
      <alignment horizontal="center" vertical="center"/>
    </xf>
    <xf numFmtId="49" fontId="10" fillId="5" borderId="7" xfId="1" applyNumberFormat="1" applyFont="1" applyFill="1" applyBorder="1" applyAlignment="1">
      <alignment horizontal="center" vertical="center"/>
    </xf>
    <xf numFmtId="165" fontId="10" fillId="5" borderId="7" xfId="1" applyFont="1" applyFill="1" applyBorder="1" applyAlignment="1">
      <alignment horizontal="center" vertical="center" wrapText="1"/>
    </xf>
    <xf numFmtId="40" fontId="14" fillId="5" borderId="7" xfId="0" applyNumberFormat="1" applyFont="1" applyFill="1" applyBorder="1" applyAlignment="1">
      <alignment vertical="center"/>
    </xf>
    <xf numFmtId="1" fontId="12" fillId="5" borderId="7" xfId="2" applyNumberFormat="1" applyFont="1" applyFill="1" applyBorder="1" applyAlignment="1">
      <alignment horizontal="center" vertical="center"/>
    </xf>
    <xf numFmtId="40" fontId="14" fillId="0" borderId="9" xfId="1" applyNumberFormat="1" applyFont="1" applyFill="1" applyBorder="1" applyAlignment="1">
      <alignment vertical="center"/>
    </xf>
    <xf numFmtId="40" fontId="14" fillId="4" borderId="9" xfId="1" applyNumberFormat="1" applyFont="1" applyFill="1" applyBorder="1" applyAlignment="1">
      <alignment vertical="center"/>
    </xf>
    <xf numFmtId="40" fontId="14" fillId="0" borderId="9" xfId="0" applyNumberFormat="1" applyFont="1" applyBorder="1" applyAlignment="1">
      <alignment vertical="center"/>
    </xf>
    <xf numFmtId="40" fontId="14" fillId="4" borderId="9" xfId="0" applyNumberFormat="1" applyFont="1" applyFill="1" applyBorder="1" applyAlignment="1">
      <alignment vertical="center"/>
    </xf>
    <xf numFmtId="1" fontId="18" fillId="0" borderId="7" xfId="2" applyNumberFormat="1" applyFont="1" applyBorder="1" applyAlignment="1">
      <alignment horizontal="center" vertical="center"/>
    </xf>
    <xf numFmtId="49" fontId="10" fillId="0" borderId="7" xfId="1" applyNumberFormat="1" applyFont="1" applyFill="1" applyBorder="1" applyAlignment="1">
      <alignment horizontal="center" vertical="center" wrapText="1"/>
    </xf>
    <xf numFmtId="40" fontId="0" fillId="0" borderId="8" xfId="0" applyNumberFormat="1" applyBorder="1" applyAlignment="1">
      <alignment vertical="center"/>
    </xf>
    <xf numFmtId="164" fontId="10" fillId="6" borderId="6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right" vertical="center" indent="1"/>
    </xf>
    <xf numFmtId="1" fontId="18" fillId="6" borderId="7" xfId="2" applyNumberFormat="1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right" vertical="center" indent="1"/>
    </xf>
    <xf numFmtId="0" fontId="0" fillId="6" borderId="8" xfId="0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65" fontId="13" fillId="6" borderId="7" xfId="1" applyFont="1" applyFill="1" applyBorder="1" applyAlignment="1">
      <alignment horizontal="center" vertical="center"/>
    </xf>
    <xf numFmtId="49" fontId="10" fillId="6" borderId="7" xfId="1" applyNumberFormat="1" applyFont="1" applyFill="1" applyBorder="1" applyAlignment="1">
      <alignment horizontal="center" vertical="center" wrapText="1"/>
    </xf>
    <xf numFmtId="165" fontId="10" fillId="6" borderId="7" xfId="1" applyFont="1" applyFill="1" applyBorder="1" applyAlignment="1">
      <alignment horizontal="center" vertical="center" wrapText="1"/>
    </xf>
    <xf numFmtId="40" fontId="14" fillId="6" borderId="7" xfId="0" applyNumberFormat="1" applyFont="1" applyFill="1" applyBorder="1" applyAlignment="1">
      <alignment vertical="center"/>
    </xf>
    <xf numFmtId="40" fontId="14" fillId="6" borderId="9" xfId="0" applyNumberFormat="1" applyFont="1" applyFill="1" applyBorder="1" applyAlignment="1">
      <alignment vertical="center"/>
    </xf>
    <xf numFmtId="40" fontId="15" fillId="6" borderId="7" xfId="3" applyNumberFormat="1" applyFont="1" applyFill="1" applyBorder="1" applyAlignment="1">
      <alignment vertical="center"/>
    </xf>
    <xf numFmtId="0" fontId="0" fillId="6" borderId="0" xfId="0" applyFill="1"/>
    <xf numFmtId="164" fontId="10" fillId="0" borderId="6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 indent="1" readingOrder="2"/>
    </xf>
    <xf numFmtId="165" fontId="13" fillId="0" borderId="7" xfId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vertical="center"/>
    </xf>
    <xf numFmtId="166" fontId="13" fillId="0" borderId="7" xfId="1" applyNumberFormat="1" applyFont="1" applyFill="1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right" vertical="center" indent="1"/>
    </xf>
    <xf numFmtId="0" fontId="6" fillId="2" borderId="12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5" fontId="13" fillId="2" borderId="11" xfId="1" applyFont="1" applyFill="1" applyBorder="1" applyAlignment="1">
      <alignment horizontal="center" vertical="center" wrapText="1"/>
    </xf>
    <xf numFmtId="49" fontId="17" fillId="2" borderId="11" xfId="1" applyNumberFormat="1" applyFont="1" applyFill="1" applyBorder="1" applyAlignment="1">
      <alignment horizontal="center" vertical="center" wrapText="1"/>
    </xf>
    <xf numFmtId="165" fontId="17" fillId="2" borderId="11" xfId="1" applyFont="1" applyFill="1" applyBorder="1" applyAlignment="1">
      <alignment horizontal="center" vertical="center" wrapText="1"/>
    </xf>
    <xf numFmtId="40" fontId="14" fillId="2" borderId="11" xfId="0" applyNumberFormat="1" applyFont="1" applyFill="1" applyBorder="1" applyAlignment="1">
      <alignment vertical="center"/>
    </xf>
    <xf numFmtId="40" fontId="15" fillId="2" borderId="14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indent="2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40" fontId="9" fillId="0" borderId="0" xfId="0" applyNumberFormat="1" applyFont="1" applyAlignment="1">
      <alignment vertical="center"/>
    </xf>
    <xf numFmtId="40" fontId="6" fillId="0" borderId="0" xfId="0" applyNumberFormat="1" applyFont="1" applyAlignment="1">
      <alignment vertical="center"/>
    </xf>
    <xf numFmtId="49" fontId="17" fillId="0" borderId="0" xfId="0" applyNumberFormat="1" applyFont="1" applyAlignment="1">
      <alignment horizontal="center" vertical="center" wrapText="1"/>
    </xf>
  </cellXfs>
  <cellStyles count="4">
    <cellStyle name="Comma" xfId="1" builtinId="3"/>
    <cellStyle name="Comma 2" xfId="3" xr:uid="{85A8AF67-CA94-41DA-A37E-7B0958FCE43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&#1575;&#1580;&#1605;&#1575;&#1604;&#1610; &#1575;&#1604;&#1605;&#1608;&#1585;&#1583;&#1610;&#1606;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0</xdr:row>
      <xdr:rowOff>0</xdr:rowOff>
    </xdr:from>
    <xdr:to>
      <xdr:col>1</xdr:col>
      <xdr:colOff>677333</xdr:colOff>
      <xdr:row>2</xdr:row>
      <xdr:rowOff>129540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EF7781-75D2-4ACB-B7EF-53E498C2052B}"/>
            </a:ext>
          </a:extLst>
        </xdr:cNvPr>
        <xdr:cNvSpPr/>
      </xdr:nvSpPr>
      <xdr:spPr>
        <a:xfrm>
          <a:off x="9994568107" y="0"/>
          <a:ext cx="1614593" cy="876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800" b="1"/>
            <a:t>صفحة</a:t>
          </a:r>
          <a:r>
            <a:rPr lang="ar-EG" sz="1800" b="1" baseline="0"/>
            <a:t> الموردين</a:t>
          </a:r>
          <a:endParaRPr lang="en-US" sz="18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.shortcut-targets-by-id\1VxQK7gGykT2UcyM0x4Wgf6a-n__9cqgw\&#1575;&#1604;&#1605;&#1602;&#1575;&#1608;&#1604;&#1610;&#1606;%20&#1608;&#1575;&#1604;&#1605;&#1608;&#1585;&#1583;&#1610;&#1606;\&#1575;&#1604;&#1605;&#1602;&#1575;&#1608;&#1604;&#1610;&#1606;%20&#1608;%20&#1575;&#1604;&#1605;&#1608;&#1585;&#1583;&#1610;&#1606;\&#1575;&#1604;&#1605;&#1608;&#1585;&#1583;&#1610;&#1606;\&#1575;&#1604;&#1605;&#1608;&#1585;&#1583;&#1610;&#1606;.xlsx" TargetMode="External"/><Relationship Id="rId1" Type="http://schemas.openxmlformats.org/officeDocument/2006/relationships/externalLinkPath" Target="file:///H:\.shortcut-targets-by-id\1VxQK7gGykT2UcyM0x4Wgf6a-n__9cqgw\&#1575;&#1604;&#1605;&#1602;&#1575;&#1608;&#1604;&#1610;&#1606;%20&#1608;&#1575;&#1604;&#1605;&#1608;&#1585;&#1583;&#1610;&#1606;\&#1575;&#1604;&#1605;&#1602;&#1575;&#1608;&#1604;&#1610;&#1606;%20&#1608;%20&#1575;&#1604;&#1605;&#1608;&#1585;&#1583;&#1610;&#1606;\&#1575;&#1604;&#1605;&#1608;&#1585;&#1583;&#1610;&#1606;\&#1575;&#1604;&#1605;&#1608;&#1585;&#1583;&#1610;&#160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صطفى حبيب"/>
      <sheetName val="اسعار الأسترتش"/>
      <sheetName val="Sheet2"/>
      <sheetName val="ميتال تك"/>
      <sheetName val="قائمة اسعار ميتالتك"/>
      <sheetName val="list"/>
      <sheetName val="اجمالي الموردين"/>
      <sheetName val="1"/>
      <sheetName val="شمس"/>
      <sheetName val="2"/>
      <sheetName val="3"/>
      <sheetName val="4"/>
      <sheetName val="4 (2)"/>
      <sheetName val="5"/>
      <sheetName val="Sheet1"/>
      <sheetName val="6"/>
      <sheetName val="7"/>
      <sheetName val="8"/>
      <sheetName val="شدوان معلق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7"/>
      <sheetName val="68"/>
      <sheetName val="حساب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 t="str">
            <v>عوض عيد دومه صميده دومه</v>
          </cell>
          <cell r="C4" t="str">
            <v>توريد اسمنت , رمل , طوب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1593;&#1608;&#1590;%20&#1593;&#1610;&#1583;\&#1605;&#1588;&#1585;&#1608;&#1593;%20&#1587;&#1593;&#1608;&#1583;&#1610;\&#1605;&#1587;&#1578;&#1582;&#1604;&#1589;%20&#1578;&#1608;&#1585;&#1610;&#1583;%20&#1575;&#1587;&#1605;&#1606;&#1578;%20&#1608;&#1591;&#1608;&#1576;%20&#1605;&#1588;&#1585;&#1608;&#1593;%20&#1587;&#1593;&#1608;&#1583;&#1610;%20&#1575;&#1604;&#1581;&#1575;&#1580;%20&#1593;&#1608;&#1590;%2020.jpg" TargetMode="External"/><Relationship Id="rId18" Type="http://schemas.openxmlformats.org/officeDocument/2006/relationships/hyperlink" Target="&#1593;&#1608;&#1590;%20&#1593;&#1610;&#1583;\&#1583;&#1601;&#1593;&#1575;&#1578;%20&#1575;&#1604;&#1605;&#1608;&#1585;&#1583;\PV%209092.jpg" TargetMode="External"/><Relationship Id="rId26" Type="http://schemas.openxmlformats.org/officeDocument/2006/relationships/hyperlink" Target="&#1605;&#1604;&#1601;&#1575;&#1578;%20&#1575;&#1604;&#1605;&#1608;&#1585;&#1583;&#1610;&#1606;\&#1593;&#1608;&#1590;%20&#1593;&#1610;&#1583;\&#1605;&#1588;&#1585;&#1608;&#1593;%20&#1606;&#1587;&#1610;&#1605;\&#1605;&#1587;&#1578;&#1582;&#1604;&#1589;%20&#1578;&#1608;&#1585;&#1610;&#1583;%20&#1591;&#1606;%20&#1575;&#1587;&#1605;&#1606;&#1578;%20&#1605;&#1588;&#1585;&#1608;&#1593;%20&#1606;&#1587;&#1610;&#1605;%20&#1605;&#1576;&#1606;&#1610;%20&#1575;&#1604;&#1605;&#1576;&#1610;&#1593;&#1575;&#1578;%20&#1593;&#1608;&#1590;%20&#1593;&#1610;&#1583;%2037%20.jpg" TargetMode="External"/><Relationship Id="rId39" Type="http://schemas.openxmlformats.org/officeDocument/2006/relationships/hyperlink" Target="&#1605;&#1604;&#1601;&#1575;&#1578;%20&#1575;&#1604;&#1605;&#1608;&#1585;&#1583;&#1610;&#1606;\&#1593;&#1608;&#1590;%20&#1593;&#1610;&#1583;\&#1583;&#1601;&#1593;&#1575;&#1578;%20&#1575;&#1604;&#1605;&#1608;&#1585;&#1583;\PV%2010208%20&#1593;&#1608;&#1590;%20&#1593;&#1610;&#1583;%20.jpg" TargetMode="External"/><Relationship Id="rId21" Type="http://schemas.openxmlformats.org/officeDocument/2006/relationships/hyperlink" Target="&#1593;&#1608;&#1590;%20&#1593;&#1610;&#1583;\&#1605;&#1588;&#1585;&#1608;&#1593;%20&#1606;&#1587;&#1610;&#1605;\&#1605;&#1587;&#1578;&#1582;&#1604;&#1589;%20&#1578;&#1608;&#1585;&#1610;&#1583;&#1575;&#1578;%20&#1605;&#1588;&#1585;&#1608;&#1593;%20&#1606;&#1587;&#1610;&#1605;%20&#1575;&#1604;&#1581;&#1575;&#1580;%20&#1593;&#1608;&#1590;%2027.jpg" TargetMode="External"/><Relationship Id="rId34" Type="http://schemas.openxmlformats.org/officeDocument/2006/relationships/hyperlink" Target="&#1605;&#1604;&#1601;&#1575;&#1578;%20&#1575;&#1604;&#1605;&#1608;&#1585;&#1583;&#1610;&#1606;\&#1593;&#1608;&#1590;%20&#1593;&#1610;&#1583;\&#1605;&#1588;&#1585;&#1608;&#1593;%20&#1587;&#1593;&#1608;&#1583;&#1610;\&#1605;&#1587;&#1578;&#1582;&#1604;&#1589;%20&#1578;&#1608;&#1585;&#1610;&#1583;&#1575;&#1578;%20&#1605;&#1588;&#1585;&#1608;&#1593;%20&#1587;&#1593;&#1608;&#1583;&#1610;%20&#1593;&#1608;&#1590;%20&#1593;&#1610;&#1583;%2060.jpg" TargetMode="External"/><Relationship Id="rId42" Type="http://schemas.openxmlformats.org/officeDocument/2006/relationships/hyperlink" Target="&#1605;&#1604;&#1601;&#1575;&#1578;%20&#1575;&#1604;&#1605;&#1608;&#1585;&#1583;&#1610;&#1606;\&#1593;&#1608;&#1590;%20&#1593;&#1610;&#1583;\&#1605;&#1588;&#1585;&#1608;&#1593;%20&#1587;&#1593;&#1608;&#1583;&#1610;\&#1605;&#1587;&#1578;&#1582;&#1604;&#1589;%20&#1578;&#1608;&#1585;&#1610;&#1583;&#1575;&#1578;%20&#1605;&#1588;&#1585;&#1608;&#1593;%20&#1587;&#1593;&#1608;&#1583;&#1610;%20&#1593;&#1608;&#1590;%20&#1593;&#1610;&#1583;%2069%20.jpg" TargetMode="External"/><Relationship Id="rId47" Type="http://schemas.openxmlformats.org/officeDocument/2006/relationships/hyperlink" Target="&#1605;&#1604;&#1601;&#1575;&#1578;%20&#1575;&#1604;&#1605;&#1608;&#1585;&#1583;&#1610;&#1606;\&#1593;&#1608;&#1590;%20&#1593;&#1610;&#1583;\&#1583;&#1601;&#1593;&#1575;&#1578;%20&#1575;&#1604;&#1605;&#1608;&#1585;&#1583;\PV%2010466%20&#1593;&#1608;&#1590;%20&#1593;&#1610;&#1583;%20.jpg" TargetMode="External"/><Relationship Id="rId50" Type="http://schemas.openxmlformats.org/officeDocument/2006/relationships/hyperlink" Target="&#1605;&#1604;&#1601;&#1575;&#1578;%20&#1575;&#1604;&#1605;&#1608;&#1585;&#1583;&#1610;&#1606;\&#1593;&#1608;&#1590;%20&#1593;&#1610;&#1583;\&#1605;&#1588;&#1585;&#1608;&#1593;%20&#1606;&#1587;&#1610;&#1605;\&#1605;&#1587;&#1578;&#1582;&#1604;&#1589;%20&#1578;&#1608;&#1585;&#1610;&#1583;&#1575;&#1578;%20&#1593;&#1583;&#1583;%2056%20&#1575;&#1604;&#1601;%20&#1591;&#1608;&#1576;&#1607;%203,300&#1580;%20&#1605;&#1588;&#1585;&#1608;&#1593;%20&#1606;&#1587;&#1610;&#1605;%20&#1593;&#1608;&#1590;%20&#1593;&#1610;&#1583;%20116%20.jpg" TargetMode="External"/><Relationship Id="rId7" Type="http://schemas.openxmlformats.org/officeDocument/2006/relationships/hyperlink" Target="&#1583;&#1601;&#1593;&#1575;&#1578;%20&#1575;&#1604;&#1605;&#1608;&#1585;&#1583;&#1610;&#1606;\PV%208814.pdf" TargetMode="External"/><Relationship Id="rId2" Type="http://schemas.openxmlformats.org/officeDocument/2006/relationships/hyperlink" Target="&#1605;&#1587;&#1578;&#1582;&#1604;&#1589;&#1575;&#1578;%20&#1575;&#1604;&#1605;&#1608;&#1585;&#1583;&#1610;&#1606;\3%20&#1593;&#1608;&#1590;%20&#1593;&#1610;&#1583;%20&#1578;&#1608;&#1585;&#1610;&#1583;%20&#1591;&#1608;&#1576;%20&#1605;&#1588;&#1585;&#1608;&#1593;%20&#1606;&#1587;&#1610;&#1605;.pdf" TargetMode="External"/><Relationship Id="rId16" Type="http://schemas.openxmlformats.org/officeDocument/2006/relationships/hyperlink" Target="&#1593;&#1608;&#1590;%20&#1593;&#1610;&#1583;\&#1583;&#1601;&#1593;&#1575;&#1578;%20&#1575;&#1604;&#1605;&#1608;&#1585;&#1583;\pv%209041.jpg" TargetMode="External"/><Relationship Id="rId29" Type="http://schemas.openxmlformats.org/officeDocument/2006/relationships/hyperlink" Target="&#1605;&#1604;&#1601;&#1575;&#1578;%20&#1575;&#1604;&#1605;&#1608;&#1585;&#1583;&#1610;&#1606;\&#1593;&#1608;&#1590;%20&#1593;&#1610;&#1583;\&#1583;&#1601;&#1593;&#1575;&#1578;%20&#1575;&#1604;&#1605;&#1608;&#1585;&#1583;\pv%209669%20.jpg" TargetMode="External"/><Relationship Id="rId11" Type="http://schemas.openxmlformats.org/officeDocument/2006/relationships/hyperlink" Target="&#1593;&#1608;&#1590;%20&#1593;&#1610;&#1583;\&#1583;&#1601;&#1593;&#1575;&#1578;%20&#1575;&#1604;&#1605;&#1608;&#1585;&#1583;\PV%206691.jpg" TargetMode="External"/><Relationship Id="rId24" Type="http://schemas.openxmlformats.org/officeDocument/2006/relationships/hyperlink" Target="&#1605;&#1604;&#1601;&#1575;&#1578;%20&#1575;&#1604;&#1605;&#1608;&#1585;&#1583;&#1610;&#1606;\&#1593;&#1608;&#1590;%20&#1593;&#1610;&#1583;\&#1605;&#1588;&#1585;&#1608;&#1593;%20&#1606;&#1587;&#1610;&#1605;\&#1605;&#1587;&#1578;&#1582;&#1604;&#1589;%20&#1578;&#1608;&#1585;&#1610;&#1583;%20&#1575;&#1587;&#1605;&#1606;&#1578;%20&#1605;&#1576;&#1606;&#1610;%20&#1575;&#1604;&#1605;&#1576;&#1610;&#1593;&#1575;&#1578;%20&#1605;&#1588;&#1585;&#1608;&#1593;%20&#1606;&#1587;&#1610;&#1605;%20&#1593;&#1608;&#1590;%20&#1593;&#1610;&#1583;%2034%20.jpeg" TargetMode="External"/><Relationship Id="rId32" Type="http://schemas.openxmlformats.org/officeDocument/2006/relationships/hyperlink" Target="&#1605;&#1604;&#1601;&#1575;&#1578;%20&#1575;&#1604;&#1605;&#1608;&#1585;&#1583;&#1610;&#1606;\&#1593;&#1608;&#1590;%20&#1593;&#1610;&#1583;\&#1605;&#1588;&#1585;&#1608;&#1593;%20&#1587;&#1593;&#1608;&#1583;&#1610;\&#1605;&#1587;&#1578;&#1582;&#1604;&#1589;%20&#1578;&#1608;&#1585;&#1610;&#1583;&#1575;&#1578;%20&#1605;&#1588;&#1585;&#1608;&#1593;%20&#1587;&#1593;&#1608;&#1583;&#1610;%20&#1593;&#1608;&#1590;%20&#1593;&#1610;&#1583;%2056%20.jpg" TargetMode="External"/><Relationship Id="rId37" Type="http://schemas.openxmlformats.org/officeDocument/2006/relationships/hyperlink" Target="&#1605;&#1604;&#1601;&#1575;&#1578;%20&#1575;&#1604;&#1605;&#1608;&#1585;&#1583;&#1610;&#1606;\&#1593;&#1608;&#1590;%20&#1593;&#1610;&#1583;\&#1605;&#1588;&#1585;&#1608;&#1593;%20&#1587;&#1593;&#1608;&#1583;&#1610;\&#1605;&#1587;&#1578;&#1582;&#1604;&#1589;%20&#1578;&#1608;&#1585;&#1610;&#1583;&#1575;&#1578;%20&#1605;&#1588;&#1585;&#1608;&#1593;%20&#1587;&#1593;&#1608;&#1583;&#1610;%20&#1593;&#1608;&#1590;%20&#1593;&#1610;&#1583;%2066%20.jpg" TargetMode="External"/><Relationship Id="rId40" Type="http://schemas.openxmlformats.org/officeDocument/2006/relationships/hyperlink" Target="&#1605;&#1604;&#1601;&#1575;&#1578;%20&#1575;&#1604;&#1605;&#1608;&#1585;&#1583;&#1610;&#1606;\&#1593;&#1608;&#1590;%20&#1593;&#1610;&#1583;\&#1605;&#1588;&#1585;&#1608;&#1593;%20&#1578;&#1608;&#1576;&#1575;&#1592;\&#1605;&#1587;&#1578;&#1582;&#1604;&#1589;%20&#1578;&#1608;&#1585;&#1610;&#1583;&#1575;&#1578;%20&#1605;&#1588;&#1585;&#1608;&#1593;%20&#1578;&#1608;&#1576;&#1575;&#1592;%20&#1593;&#1608;&#1590;%20&#1593;&#1610;&#1583;%2070%20.jpg" TargetMode="External"/><Relationship Id="rId45" Type="http://schemas.openxmlformats.org/officeDocument/2006/relationships/hyperlink" Target="&#1605;&#1604;&#1601;&#1575;&#1578;%20&#1575;&#1604;&#1605;&#1608;&#1585;&#1583;&#1610;&#1606;\&#1593;&#1608;&#1590;%20&#1593;&#1610;&#1583;\&#1583;&#1601;&#1593;&#1575;&#1578;%20&#1575;&#1604;&#1605;&#1608;&#1585;&#1583;\PV%2010421%20&#1593;&#1608;&#1590;%20&#1593;&#1610;&#1583;%20.jpg" TargetMode="External"/><Relationship Id="rId5" Type="http://schemas.openxmlformats.org/officeDocument/2006/relationships/hyperlink" Target="&#1583;&#1601;&#1593;&#1575;&#1578;%20&#1575;&#1604;&#1605;&#1608;&#1585;&#1583;&#1610;&#1606;\PV%208814.pdf" TargetMode="External"/><Relationship Id="rId15" Type="http://schemas.openxmlformats.org/officeDocument/2006/relationships/hyperlink" Target="&#1593;&#1608;&#1590;%20&#1593;&#1610;&#1583;\&#1583;&#1601;&#1593;&#1575;&#1578;%20&#1575;&#1604;&#1605;&#1608;&#1585;&#1583;\pv%209041.jpg" TargetMode="External"/><Relationship Id="rId23" Type="http://schemas.openxmlformats.org/officeDocument/2006/relationships/hyperlink" Target="&#1605;&#1604;&#1601;&#1575;&#1578;%20&#1575;&#1604;&#1605;&#1608;&#1585;&#1583;&#1610;&#1606;\&#1593;&#1608;&#1590;%20&#1593;&#1610;&#1583;\&#1583;&#1601;&#1593;&#1575;&#1578;%20&#1575;&#1604;&#1605;&#1608;&#1585;&#1583;\&#1593;&#1608;&#1590;%20&#1593;&#1610;&#1583;%20PV%209225%20.jpg" TargetMode="External"/><Relationship Id="rId28" Type="http://schemas.openxmlformats.org/officeDocument/2006/relationships/hyperlink" Target="&#1605;&#1604;&#1601;&#1575;&#1578;%20&#1575;&#1604;&#1605;&#1608;&#1585;&#1583;&#1610;&#1606;\&#1593;&#1608;&#1590;%20&#1593;&#1610;&#1583;\&#1605;&#1588;&#1585;&#1608;&#1593;%20&#1606;&#1587;&#1610;&#1605;\&#1605;&#1587;&#1578;&#1582;&#1604;&#1589;%20&#1578;&#1608;&#1585;&#1610;&#1583;%20&#1575;&#1587;&#1605;&#1606;&#1578;%20&#1605;&#1576;&#1606;&#1610;%20&#1575;&#1604;&#1605;&#1576;&#1610;&#1593;&#1575;&#1578;%20&#1605;&#1588;&#1585;&#1608;&#1593;%20&#1606;&#1587;&#1610;&#1605;%20&#1593;&#1608;&#1590;%20&#1593;&#1610;&#1583;%2038%20.jpg" TargetMode="External"/><Relationship Id="rId36" Type="http://schemas.openxmlformats.org/officeDocument/2006/relationships/hyperlink" Target="&#1605;&#1604;&#1601;&#1575;&#1578;%20&#1575;&#1604;&#1605;&#1608;&#1585;&#1583;&#1610;&#1606;\&#1593;&#1608;&#1590;%20&#1593;&#1610;&#1583;\&#1605;&#1588;&#1585;&#1608;&#1593;%20&#1587;&#1593;&#1608;&#1583;&#1610;\&#1605;&#1587;&#1578;&#1582;&#1604;&#1589;%20&#1578;&#1608;&#1585;&#1610;&#1583;&#1575;&#1578;%20&#1605;&#1588;&#1585;&#1608;&#1593;%20&#1587;&#1593;&#1608;&#1583;&#1610;%20&#1593;&#1608;&#1590;%20&#1593;&#1610;&#1583;%2065%20.jpg" TargetMode="External"/><Relationship Id="rId49" Type="http://schemas.openxmlformats.org/officeDocument/2006/relationships/hyperlink" Target="&#1605;&#1604;&#1601;&#1575;&#1578;%20&#1575;&#1604;&#1605;&#1608;&#1585;&#1583;&#1610;&#1606;\&#1593;&#1608;&#1590;%20&#1593;&#1610;&#1583;\&#1605;&#1588;&#1585;&#1608;&#1593;%20&#1587;&#1593;&#1608;&#1583;&#1610;\&#1605;&#1587;&#1578;&#1582;&#1604;&#1589;%20&#1578;&#1608;&#1585;&#1610;&#1583;&#1575;&#1578;%20&#1605;&#1588;&#1585;&#1608;&#1593;%20&#1587;&#1593;&#1608;&#1583;&#1610;%20&#1593;&#1608;&#1590;%20&#1593;&#1610;&#1583;%20104%20.jpg" TargetMode="External"/><Relationship Id="rId10" Type="http://schemas.openxmlformats.org/officeDocument/2006/relationships/hyperlink" Target="&#1605;&#1587;&#1578;&#1582;&#1604;&#1589;&#1575;&#1578;%20&#1575;&#1604;&#1605;&#1608;&#1585;&#1583;&#1610;&#1606;\11%20&#1593;&#1608;&#1590;%20&#1593;&#1610;&#1583;%20&#1605;&#1588;&#1585;&#1608;&#1593;%20&#1606;&#1587;&#1610;&#1605;%20&#1575;&#1587;&#1605;&#1606;&#1578;.jpg" TargetMode="External"/><Relationship Id="rId19" Type="http://schemas.openxmlformats.org/officeDocument/2006/relationships/hyperlink" Target="&#1593;&#1608;&#1590;%20&#1593;&#1610;&#1583;\&#1605;&#1588;&#1585;&#1608;&#1593;%20&#1606;&#1587;&#1610;&#1605;\&#1605;&#1587;&#1578;&#1582;&#1604;&#1589;%20&#1578;&#1608;&#1585;&#1610;&#1583;&#1575;&#1578;%20&#1605;&#1588;&#1585;&#1608;&#1593;%20&#1606;&#1587;&#1610;&#1605;%20&#1575;&#1604;&#1581;&#1575;&#1580;%20&#1593;&#1608;&#1590;%2027.jpg" TargetMode="External"/><Relationship Id="rId31" Type="http://schemas.openxmlformats.org/officeDocument/2006/relationships/hyperlink" Target="&#1605;&#1604;&#1601;&#1575;&#1578;%20&#1575;&#1604;&#1605;&#1608;&#1585;&#1583;&#1610;&#1606;\&#1593;&#1608;&#1590;%20&#1593;&#1610;&#1583;\&#1583;&#1601;&#1593;&#1575;&#1578;%20&#1575;&#1604;&#1605;&#1608;&#1585;&#1583;\&#1578;&#1608;&#1585;&#1610;&#1583;&#1575;&#1578;%20&#1575;&#1587;&#1605;&#1606;&#1578;%20&#1608;&#1591;&#1608;&#1576;%20&#1608;&#1581;&#1583;&#1610;&#1583;%20&#1605;&#1576;&#1606;&#1610;%20&#1575;&#1604;&#1605;&#1576;&#1610;&#1593;&#1575;&#1578;%20&#1605;&#1588;&#1585;&#1608;&#1593;%20&#1606;&#1587;&#1610;&#1605;%2069,650%20pv%204013%20.pdf" TargetMode="External"/><Relationship Id="rId44" Type="http://schemas.openxmlformats.org/officeDocument/2006/relationships/hyperlink" Target="&#1605;&#1604;&#1601;&#1575;&#1578;%20&#1575;&#1604;&#1605;&#1608;&#1585;&#1583;&#1610;&#1606;\&#1593;&#1608;&#1590;%20&#1593;&#1610;&#1583;\&#1605;&#1588;&#1585;&#1608;&#1593;%20&#1587;&#1593;&#1608;&#1583;&#1610;\&#1605;&#1587;&#1578;&#1582;&#1604;&#1589;%20&#1578;&#1608;&#1585;&#1610;&#1583;&#1575;&#1578;%20&#1575;&#1587;&#1605;&#1606;&#1578;%20&#1605;&#1588;&#1585;&#1608;&#1593;%20&#1587;&#1593;&#1608;&#1583;&#1610;%20&#1593;&#1608;&#1590;%20&#1593;&#1610;&#1583;%2082%20.jpg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&#1583;&#1601;&#1593;&#1575;&#1578;%20&#1575;&#1604;&#1605;&#1608;&#1585;&#1583;&#1610;&#1606;\PV%208923.pdf" TargetMode="External"/><Relationship Id="rId9" Type="http://schemas.openxmlformats.org/officeDocument/2006/relationships/hyperlink" Target="&#1605;&#1587;&#1578;&#1582;&#1604;&#1589;&#1575;&#1578;%20&#1575;&#1604;&#1605;&#1608;&#1585;&#1583;&#1610;&#1606;\7%20&#1593;&#1608;&#1590;%20&#1593;&#1610;&#1583;%20&#1575;&#1587;&#1605;&#1606;&#1578;%20&#1591;&#1608;&#1576;%20&#1587;&#1606;%20&#1605;&#1588;&#1585;&#1608;&#1593;%20&#1587;&#1593;&#1608;&#1583;&#1610;.jpg" TargetMode="External"/><Relationship Id="rId14" Type="http://schemas.openxmlformats.org/officeDocument/2006/relationships/hyperlink" Target="&#1593;&#1608;&#1590;%20&#1593;&#1610;&#1583;\&#1605;&#1588;&#1585;&#1608;&#1593;%20&#1606;&#1587;&#1610;&#1605;\&#1605;&#1587;&#1578;&#1582;&#1604;&#1589;%20&#1578;&#1608;&#1585;&#1610;&#1583;%20&#1575;&#1587;&#1605;&#1606;&#1578;%20&#1576;&#1606;&#1610;%20&#1587;&#1608;&#1587;&#1601;%20&#1605;&#1588;&#1585;&#1608;&#1593;%20&#1606;&#1587;&#1610;&#1605;%20&#1575;&#1604;&#1581;&#1575;&#1580;%20&#1593;&#1608;&#1590;%2021.jpg" TargetMode="External"/><Relationship Id="rId22" Type="http://schemas.openxmlformats.org/officeDocument/2006/relationships/hyperlink" Target="&#1605;&#1604;&#1601;&#1575;&#1578;%20&#1575;&#1604;&#1605;&#1608;&#1585;&#1583;&#1610;&#1606;\&#1593;&#1608;&#1590;%20&#1593;&#1610;&#1583;\&#1605;&#1588;&#1585;&#1608;&#1593;%20&#1606;&#1587;&#1610;&#1605;\&#1605;&#1587;&#1578;&#1582;&#1604;&#1589;%20&#1578;&#1608;&#1585;&#1610;&#1583;%20&#1575;&#1587;&#1605;&#1606;&#1578;%20&#1605;&#1588;&#1585;&#1608;&#1593;%20&#1606;&#1587;&#1610;&#1605;%20&#1575;&#1604;&#1581;&#1575;&#1580;%20&#1593;&#1608;&#1590;%20&#1593;&#1610;&#1583;%2030.jpg" TargetMode="External"/><Relationship Id="rId27" Type="http://schemas.openxmlformats.org/officeDocument/2006/relationships/hyperlink" Target="&#1605;&#1604;&#1601;&#1575;&#1578;%20&#1575;&#1604;&#1605;&#1608;&#1585;&#1583;&#1610;&#1606;\&#1593;&#1608;&#1590;%20&#1593;&#1610;&#1583;\&#1583;&#1601;&#1593;&#1575;&#1578;%20&#1575;&#1604;&#1605;&#1608;&#1585;&#1583;\PV%209568%20&#1593;&#1608;&#1590;%20&#1593;&#1610;&#1583;%20.jpg" TargetMode="External"/><Relationship Id="rId30" Type="http://schemas.openxmlformats.org/officeDocument/2006/relationships/hyperlink" Target="&#1605;&#1604;&#1601;&#1575;&#1578;%20&#1575;&#1604;&#1605;&#1608;&#1585;&#1583;&#1610;&#1606;\&#1593;&#1608;&#1590;%20&#1593;&#1610;&#1583;\&#1605;&#1588;&#1585;&#1608;&#1593;%20&#1606;&#1587;&#1610;&#1605;\&#1605;&#1587;&#1578;&#1582;&#1604;&#1589;%20&#1578;&#1608;&#1585;&#1610;&#1583;&#1575;&#1578;%20&#1575;&#1587;&#1605;&#1606;&#1578;%20&#1608;&#1591;&#1608;&#1576;%20&#1608;&#1581;&#1583;&#1610;&#1583;%20&#1605;&#1576;&#1606;&#1610;%20&#1575;&#1604;&#1605;&#1576;&#1610;&#1593;&#1575;&#1578;%20&#1605;&#1588;&#1585;&#1608;&#1593;%20&#1606;&#1587;&#1610;&#1605;%2069,650%20.pdf" TargetMode="External"/><Relationship Id="rId35" Type="http://schemas.openxmlformats.org/officeDocument/2006/relationships/hyperlink" Target="&#1605;&#1604;&#1601;&#1575;&#1578;%20&#1575;&#1604;&#1605;&#1608;&#1585;&#1583;&#1610;&#1606;\&#1593;&#1608;&#1590;%20&#1593;&#1610;&#1583;\&#1583;&#1601;&#1593;&#1575;&#1578;%20&#1575;&#1604;&#1605;&#1608;&#1585;&#1583;\PV%2010138%20&#1593;&#1608;&#1590;%20&#1593;&#1610;&#1583;%20.jpg" TargetMode="External"/><Relationship Id="rId43" Type="http://schemas.openxmlformats.org/officeDocument/2006/relationships/hyperlink" Target="&#1605;&#1604;&#1601;&#1575;&#1578;%20&#1575;&#1604;&#1605;&#1608;&#1585;&#1583;&#1610;&#1606;\&#1593;&#1608;&#1590;%20&#1593;&#1610;&#1583;\&#1583;&#1601;&#1593;&#1575;&#1578;%20&#1575;&#1604;&#1605;&#1608;&#1585;&#1583;\pv%2010304%20&#1593;&#1608;&#1590;%20&#1593;&#1610;&#1583;%20.jpg" TargetMode="External"/><Relationship Id="rId48" Type="http://schemas.openxmlformats.org/officeDocument/2006/relationships/hyperlink" Target="&#1605;&#1604;&#1601;&#1575;&#1578;%20&#1575;&#1604;&#1605;&#1608;&#1585;&#1583;&#1610;&#1606;\&#1593;&#1608;&#1590;%20&#1593;&#1610;&#1583;\&#1583;&#1601;&#1593;&#1575;&#1578;%20&#1575;&#1604;&#1605;&#1608;&#1585;&#1583;\pv%2010723%20&#1593;&#1608;&#1590;%20&#1593;&#1610;&#1583;%20.jpg" TargetMode="External"/><Relationship Id="rId8" Type="http://schemas.openxmlformats.org/officeDocument/2006/relationships/hyperlink" Target="&#1583;&#1601;&#1593;&#1575;&#1578;%20&#1575;&#1604;&#1605;&#1608;&#1585;&#1583;&#1610;&#1606;\PV%208814.pdf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&#1583;&#1601;&#1593;&#1575;&#1578;%20&#1575;&#1604;&#1605;&#1608;&#1585;&#1583;&#1610;&#1606;\PV%208820.pdf" TargetMode="External"/><Relationship Id="rId12" Type="http://schemas.openxmlformats.org/officeDocument/2006/relationships/hyperlink" Target="&#1593;&#1608;&#1590;%20&#1593;&#1610;&#1583;\&#1583;&#1601;&#1593;&#1575;&#1578;%20&#1575;&#1604;&#1605;&#1608;&#1585;&#1583;\PV%206690.jpg" TargetMode="External"/><Relationship Id="rId17" Type="http://schemas.openxmlformats.org/officeDocument/2006/relationships/hyperlink" Target="&#1593;&#1608;&#1590;%20&#1593;&#1610;&#1583;\&#1605;&#1588;&#1585;&#1608;&#1593;%20&#1606;&#1587;&#1610;&#1605;\&#1605;&#1587;&#1578;&#1582;&#1604;&#1589;%20&#1578;&#1608;&#1585;&#1610;&#1583;&#1575;&#1578;%20&#1605;&#1588;&#1585;&#1608;&#1593;%20&#1606;&#1587;&#1610;&#1605;%20&#1593;&#1608;&#1590;%20&#1593;&#1610;&#1583;%2023.jpg" TargetMode="External"/><Relationship Id="rId25" Type="http://schemas.openxmlformats.org/officeDocument/2006/relationships/hyperlink" Target="&#1605;&#1604;&#1601;&#1575;&#1578;%20&#1575;&#1604;&#1605;&#1608;&#1585;&#1583;&#1610;&#1606;\&#1593;&#1608;&#1590;%20&#1593;&#1610;&#1583;\&#1583;&#1601;&#1593;&#1575;&#1578;%20&#1575;&#1604;&#1605;&#1608;&#1585;&#1583;\PV%209349%20&#1593;&#1608;&#1590;%20&#1593;&#1610;&#1583;%20.jpeg" TargetMode="External"/><Relationship Id="rId33" Type="http://schemas.openxmlformats.org/officeDocument/2006/relationships/hyperlink" Target="&#1605;&#1604;&#1601;&#1575;&#1578;%20&#1575;&#1604;&#1605;&#1608;&#1585;&#1583;&#1610;&#1606;\&#1593;&#1608;&#1590;%20&#1593;&#1610;&#1583;\&#1583;&#1601;&#1593;&#1575;&#1578;%20&#1575;&#1604;&#1605;&#1608;&#1585;&#1583;\PV%2010094%20&#1593;&#1608;&#1590;%20&#1593;&#1610;&#1583;%20.jpg" TargetMode="External"/><Relationship Id="rId38" Type="http://schemas.openxmlformats.org/officeDocument/2006/relationships/hyperlink" Target="&#1605;&#1604;&#1601;&#1575;&#1578;%20&#1575;&#1604;&#1605;&#1608;&#1585;&#1583;&#1610;&#1606;\&#1593;&#1608;&#1590;%20&#1593;&#1610;&#1583;\&#1583;&#1601;&#1593;&#1575;&#1578;%20&#1575;&#1604;&#1605;&#1608;&#1585;&#1583;\PV%2010208%20&#1593;&#1608;&#1590;%20&#1593;&#1610;&#1583;%20.jpg" TargetMode="External"/><Relationship Id="rId46" Type="http://schemas.openxmlformats.org/officeDocument/2006/relationships/hyperlink" Target="&#1605;&#1604;&#1601;&#1575;&#1578;%20&#1575;&#1604;&#1605;&#1608;&#1585;&#1583;&#1610;&#1606;\&#1593;&#1608;&#1590;%20&#1593;&#1610;&#1583;\&#1605;&#1588;&#1585;&#1608;&#1593;%20&#1587;&#1593;&#1608;&#1583;&#1610;\&#1605;&#1587;&#1578;&#1582;&#1604;&#1589;%20&#1578;&#1608;&#1585;&#1610;&#1583;&#1575;&#1578;%20&#1575;&#1587;&#1605;&#1606;&#1578;%20&#1605;&#1588;&#1585;&#1608;&#1593;%20&#1587;&#1593;&#1608;&#1583;&#1610;%20&#1575;&#1604;&#1581;&#1575;&#1580;%20&#1593;&#1608;&#1590;%20&#1593;&#1610;&#1583;%2083%20.jpg" TargetMode="External"/><Relationship Id="rId20" Type="http://schemas.openxmlformats.org/officeDocument/2006/relationships/hyperlink" Target="&#1593;&#1608;&#1590;%20&#1593;&#1610;&#1583;\&#1583;&#1601;&#1593;&#1575;&#1578;%20&#1575;&#1604;&#1605;&#1608;&#1585;&#1583;\&#1593;&#1608;&#1590;%20&#1593;&#1610;&#1583;%20PV%209160%20.jpg" TargetMode="External"/><Relationship Id="rId41" Type="http://schemas.openxmlformats.org/officeDocument/2006/relationships/hyperlink" Target="&#1605;&#1604;&#1601;&#1575;&#1578;%20&#1575;&#1604;&#1605;&#1608;&#1585;&#1583;&#1610;&#1606;\&#1593;&#1608;&#1590;%20&#1593;&#1610;&#1583;\&#1583;&#1601;&#1593;&#1575;&#1578;%20&#1575;&#1604;&#1605;&#1608;&#1585;&#1583;\pv%2010304%20&#1593;&#1608;&#1590;%20&#1593;&#1610;&#1583;%20.jpg" TargetMode="External"/><Relationship Id="rId1" Type="http://schemas.openxmlformats.org/officeDocument/2006/relationships/hyperlink" Target="&#1605;&#1587;&#1578;&#1582;&#1604;&#1589;&#1575;&#1578;%20&#1575;&#1604;&#1605;&#1608;&#1585;&#1583;&#1610;&#1606;\3%20&#1593;&#1608;&#1590;%20&#1593;&#1610;&#1583;%20&#1578;&#1608;&#1585;&#1610;&#1583;%20&#1591;&#1608;&#1576;%20&#1605;&#1588;&#1585;&#1608;&#1593;%20&#1606;&#1587;&#1610;&#1605;.pdf" TargetMode="External"/><Relationship Id="rId6" Type="http://schemas.openxmlformats.org/officeDocument/2006/relationships/hyperlink" Target="&#1583;&#1601;&#1593;&#1575;&#1578;%20&#1575;&#1604;&#1605;&#1608;&#1585;&#1583;&#1610;&#1606;\PV%20881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FB9C5-8032-4ECF-9001-4FE729771228}">
  <sheetPr>
    <pageSetUpPr fitToPage="1"/>
  </sheetPr>
  <dimension ref="A1:M109"/>
  <sheetViews>
    <sheetView showGridLines="0" rightToLeft="1" tabSelected="1" zoomScale="85" zoomScaleNormal="85" workbookViewId="0">
      <pane xSplit="1" ySplit="3" topLeftCell="B52" activePane="bottomRight" state="frozen"/>
      <selection activeCell="D8" sqref="D8"/>
      <selection pane="topRight" activeCell="D8" sqref="D8"/>
      <selection pane="bottomLeft" activeCell="D8" sqref="D8"/>
      <selection pane="bottomRight" activeCell="E61" sqref="E61"/>
    </sheetView>
  </sheetViews>
  <sheetFormatPr defaultRowHeight="24.6" x14ac:dyDescent="0.3"/>
  <cols>
    <col min="1" max="1" width="15.5546875" style="100" bestFit="1" customWidth="1"/>
    <col min="2" max="2" width="45.109375" style="101" bestFit="1" customWidth="1"/>
    <col min="3" max="3" width="14.44140625" style="102" bestFit="1" customWidth="1"/>
    <col min="4" max="4" width="21.21875" style="8" customWidth="1"/>
    <col min="5" max="5" width="21.21875" customWidth="1"/>
    <col min="6" max="7" width="10.109375" style="9" customWidth="1"/>
    <col min="8" max="8" width="14.21875" style="103" bestFit="1" customWidth="1"/>
    <col min="9" max="9" width="13" style="104" customWidth="1"/>
    <col min="10" max="10" width="13" style="105" customWidth="1"/>
    <col min="11" max="12" width="21.109375" style="106" customWidth="1"/>
    <col min="13" max="13" width="21.109375" style="107" customWidth="1"/>
  </cols>
  <sheetData>
    <row r="1" spans="1:13" ht="33.75" customHeight="1" x14ac:dyDescent="0.25">
      <c r="A1" s="1" t="str">
        <f>'[1]اجمالي الموردين'!B4&amp;" -"&amp;" "&amp;'[1]اجمالي الموردين'!C4</f>
        <v>عوض عيد دومه صميده دومه - توريد اسمنت , رمل , طوب</v>
      </c>
      <c r="B1" s="2"/>
      <c r="C1" s="3"/>
      <c r="D1" s="2"/>
      <c r="E1" s="2"/>
      <c r="F1" s="4"/>
      <c r="G1" s="4"/>
      <c r="H1" s="2"/>
      <c r="I1" s="2"/>
      <c r="J1" s="2"/>
      <c r="K1" s="5"/>
      <c r="L1" s="5"/>
      <c r="M1" s="2"/>
    </row>
    <row r="2" spans="1:13" ht="25.2" thickBot="1" x14ac:dyDescent="0.45">
      <c r="A2"/>
      <c r="B2" s="6"/>
      <c r="C2" s="7"/>
      <c r="H2" s="10"/>
      <c r="I2" s="11"/>
      <c r="J2"/>
      <c r="K2" s="12"/>
      <c r="L2" s="12"/>
      <c r="M2" s="13"/>
    </row>
    <row r="3" spans="1:13" ht="45.6" customHeight="1" thickTop="1" x14ac:dyDescent="0.25">
      <c r="A3" s="14" t="s">
        <v>0</v>
      </c>
      <c r="B3" s="15" t="s">
        <v>1</v>
      </c>
      <c r="C3" s="16" t="s">
        <v>2</v>
      </c>
      <c r="D3" s="17" t="s">
        <v>3</v>
      </c>
      <c r="E3" s="18" t="s">
        <v>4</v>
      </c>
      <c r="F3" s="19" t="s">
        <v>5</v>
      </c>
      <c r="G3" s="19" t="s">
        <v>6</v>
      </c>
      <c r="H3" s="20" t="s">
        <v>7</v>
      </c>
      <c r="I3" s="21" t="s">
        <v>8</v>
      </c>
      <c r="J3" s="22" t="s">
        <v>9</v>
      </c>
      <c r="K3" s="23" t="s">
        <v>10</v>
      </c>
      <c r="L3" s="23" t="s">
        <v>11</v>
      </c>
      <c r="M3" s="24" t="s">
        <v>12</v>
      </c>
    </row>
    <row r="4" spans="1:13" ht="37.799999999999997" customHeight="1" x14ac:dyDescent="0.25">
      <c r="A4" s="25">
        <v>45875</v>
      </c>
      <c r="B4" s="26" t="s">
        <v>13</v>
      </c>
      <c r="C4" s="27" t="s">
        <v>14</v>
      </c>
      <c r="D4" s="28"/>
      <c r="E4" s="29"/>
      <c r="F4" s="30"/>
      <c r="G4" s="30"/>
      <c r="H4" s="31" t="s">
        <v>15</v>
      </c>
      <c r="I4" s="32" t="s">
        <v>16</v>
      </c>
      <c r="J4" s="25">
        <v>45871</v>
      </c>
      <c r="K4" s="33">
        <v>250000</v>
      </c>
      <c r="L4" s="34"/>
      <c r="M4" s="35">
        <f>K4-L4</f>
        <v>250000</v>
      </c>
    </row>
    <row r="5" spans="1:13" ht="37.799999999999997" customHeight="1" x14ac:dyDescent="0.25">
      <c r="A5" s="25">
        <v>45890</v>
      </c>
      <c r="B5" s="26" t="s">
        <v>17</v>
      </c>
      <c r="C5" s="27" t="s">
        <v>18</v>
      </c>
      <c r="D5" s="36" t="s">
        <v>19</v>
      </c>
      <c r="E5" s="29"/>
      <c r="F5" s="30"/>
      <c r="G5" s="30"/>
      <c r="H5" s="31" t="s">
        <v>15</v>
      </c>
      <c r="I5" s="32" t="s">
        <v>20</v>
      </c>
      <c r="J5" s="25">
        <v>45890</v>
      </c>
      <c r="K5" s="33">
        <v>183600</v>
      </c>
      <c r="L5" s="34"/>
      <c r="M5" s="35">
        <f>IF(OR(K5&gt;0,L5&gt;0),M4+K5-L5,"")</f>
        <v>433600</v>
      </c>
    </row>
    <row r="6" spans="1:13" ht="37.799999999999997" customHeight="1" x14ac:dyDescent="0.25">
      <c r="A6" s="25">
        <v>45897</v>
      </c>
      <c r="B6" s="26" t="s">
        <v>21</v>
      </c>
      <c r="C6" s="37" t="s">
        <v>22</v>
      </c>
      <c r="D6" s="36" t="s">
        <v>19</v>
      </c>
      <c r="E6" s="29"/>
      <c r="F6" s="30"/>
      <c r="G6" s="30"/>
      <c r="H6" s="31" t="s">
        <v>23</v>
      </c>
      <c r="I6" s="32" t="s">
        <v>24</v>
      </c>
      <c r="J6" s="38" t="s">
        <v>24</v>
      </c>
      <c r="K6" s="33">
        <v>47020</v>
      </c>
      <c r="L6" s="34"/>
      <c r="M6" s="35">
        <f t="shared" ref="M6:M69" si="0">IF(OR(K6&gt;0,L6&gt;0),M5+K6-L6,"")</f>
        <v>480620</v>
      </c>
    </row>
    <row r="7" spans="1:13" ht="37.799999999999997" customHeight="1" x14ac:dyDescent="0.25">
      <c r="A7" s="25">
        <v>45904</v>
      </c>
      <c r="B7" s="26" t="s">
        <v>25</v>
      </c>
      <c r="C7" s="37" t="s">
        <v>26</v>
      </c>
      <c r="D7" s="36" t="s">
        <v>19</v>
      </c>
      <c r="E7" s="29"/>
      <c r="F7" s="30"/>
      <c r="G7" s="30"/>
      <c r="H7" s="31" t="s">
        <v>23</v>
      </c>
      <c r="I7" s="32" t="s">
        <v>24</v>
      </c>
      <c r="J7" s="38" t="s">
        <v>24</v>
      </c>
      <c r="K7" s="33">
        <v>30300</v>
      </c>
      <c r="L7" s="34"/>
      <c r="M7" s="35">
        <f t="shared" si="0"/>
        <v>510920</v>
      </c>
    </row>
    <row r="8" spans="1:13" ht="37.799999999999997" customHeight="1" x14ac:dyDescent="0.25">
      <c r="A8" s="25">
        <v>45911</v>
      </c>
      <c r="B8" s="26" t="s">
        <v>27</v>
      </c>
      <c r="C8" s="27" t="s">
        <v>28</v>
      </c>
      <c r="D8" s="36" t="s">
        <v>29</v>
      </c>
      <c r="E8" s="29"/>
      <c r="F8" s="30"/>
      <c r="G8" s="30"/>
      <c r="H8" s="31" t="s">
        <v>23</v>
      </c>
      <c r="I8" s="32" t="s">
        <v>24</v>
      </c>
      <c r="J8" s="38" t="s">
        <v>24</v>
      </c>
      <c r="K8" s="33">
        <v>7250</v>
      </c>
      <c r="L8" s="34"/>
      <c r="M8" s="35">
        <f t="shared" si="0"/>
        <v>518170</v>
      </c>
    </row>
    <row r="9" spans="1:13" ht="37.799999999999997" customHeight="1" x14ac:dyDescent="0.25">
      <c r="A9" s="25">
        <v>45918</v>
      </c>
      <c r="B9" s="26" t="s">
        <v>30</v>
      </c>
      <c r="C9" s="39" t="s">
        <v>31</v>
      </c>
      <c r="D9" s="36" t="s">
        <v>19</v>
      </c>
      <c r="E9" s="29"/>
      <c r="F9" s="30"/>
      <c r="G9" s="30"/>
      <c r="H9" s="31" t="s">
        <v>23</v>
      </c>
      <c r="I9" s="32" t="s">
        <v>24</v>
      </c>
      <c r="J9" s="40" t="s">
        <v>24</v>
      </c>
      <c r="K9" s="33">
        <v>59300</v>
      </c>
      <c r="L9" s="34"/>
      <c r="M9" s="35">
        <f t="shared" si="0"/>
        <v>577470</v>
      </c>
    </row>
    <row r="10" spans="1:13" ht="37.799999999999997" customHeight="1" x14ac:dyDescent="0.25">
      <c r="A10" s="41">
        <v>45925</v>
      </c>
      <c r="B10" s="26" t="s">
        <v>32</v>
      </c>
      <c r="C10" s="42">
        <v>8804</v>
      </c>
      <c r="D10" s="36" t="s">
        <v>19</v>
      </c>
      <c r="E10" s="36"/>
      <c r="F10" s="43"/>
      <c r="G10" s="43"/>
      <c r="H10" s="31" t="s">
        <v>23</v>
      </c>
      <c r="I10" s="32"/>
      <c r="J10" s="40"/>
      <c r="K10" s="33">
        <v>8300</v>
      </c>
      <c r="L10" s="33"/>
      <c r="M10" s="35">
        <f t="shared" si="0"/>
        <v>585770</v>
      </c>
    </row>
    <row r="11" spans="1:13" ht="37.799999999999997" customHeight="1" x14ac:dyDescent="0.25">
      <c r="A11" s="25">
        <v>45931</v>
      </c>
      <c r="B11" s="26"/>
      <c r="C11" s="44"/>
      <c r="D11" s="28"/>
      <c r="E11" s="29"/>
      <c r="F11" s="30"/>
      <c r="G11" s="30"/>
      <c r="H11" s="31"/>
      <c r="I11" s="32"/>
      <c r="J11" s="40"/>
      <c r="K11" s="33"/>
      <c r="L11" s="45">
        <v>35280</v>
      </c>
      <c r="M11" s="35">
        <f t="shared" si="0"/>
        <v>550490</v>
      </c>
    </row>
    <row r="12" spans="1:13" ht="37.799999999999997" customHeight="1" x14ac:dyDescent="0.25">
      <c r="A12" s="25">
        <v>45932</v>
      </c>
      <c r="B12" s="26" t="s">
        <v>33</v>
      </c>
      <c r="C12" s="27" t="s">
        <v>34</v>
      </c>
      <c r="D12" s="36" t="s">
        <v>29</v>
      </c>
      <c r="E12" s="29"/>
      <c r="F12" s="30"/>
      <c r="G12" s="30"/>
      <c r="H12" s="31" t="s">
        <v>23</v>
      </c>
      <c r="I12" s="32" t="s">
        <v>24</v>
      </c>
      <c r="J12" s="46" t="s">
        <v>24</v>
      </c>
      <c r="K12" s="47">
        <v>35280</v>
      </c>
      <c r="L12" s="34">
        <v>0</v>
      </c>
      <c r="M12" s="35">
        <f t="shared" si="0"/>
        <v>585770</v>
      </c>
    </row>
    <row r="13" spans="1:13" ht="37.799999999999997" customHeight="1" x14ac:dyDescent="0.25">
      <c r="A13" s="25">
        <v>45932</v>
      </c>
      <c r="B13" s="26" t="s">
        <v>35</v>
      </c>
      <c r="C13" s="27">
        <v>8815</v>
      </c>
      <c r="D13" s="36" t="s">
        <v>19</v>
      </c>
      <c r="E13" s="36"/>
      <c r="F13" s="43"/>
      <c r="G13" s="43"/>
      <c r="H13" s="31" t="s">
        <v>23</v>
      </c>
      <c r="I13" s="32"/>
      <c r="J13" s="38"/>
      <c r="K13" s="33">
        <v>3120</v>
      </c>
      <c r="L13" s="34"/>
      <c r="M13" s="35">
        <f t="shared" si="0"/>
        <v>588890</v>
      </c>
    </row>
    <row r="14" spans="1:13" ht="37.799999999999997" customHeight="1" x14ac:dyDescent="0.25">
      <c r="A14" s="25">
        <v>45938</v>
      </c>
      <c r="B14" s="48" t="s">
        <v>36</v>
      </c>
      <c r="C14" s="27" t="s">
        <v>37</v>
      </c>
      <c r="D14" s="36" t="s">
        <v>29</v>
      </c>
      <c r="E14" s="49"/>
      <c r="F14" s="43"/>
      <c r="G14" s="43"/>
      <c r="H14" s="50" t="s">
        <v>38</v>
      </c>
      <c r="I14" s="51" t="s">
        <v>24</v>
      </c>
      <c r="J14" s="46" t="s">
        <v>24</v>
      </c>
      <c r="K14" s="52">
        <v>0</v>
      </c>
      <c r="L14" s="53">
        <v>761600</v>
      </c>
      <c r="M14" s="35">
        <f t="shared" si="0"/>
        <v>-172710</v>
      </c>
    </row>
    <row r="15" spans="1:13" ht="37.799999999999997" customHeight="1" x14ac:dyDescent="0.25">
      <c r="A15" s="25">
        <v>45938</v>
      </c>
      <c r="B15" s="48" t="s">
        <v>39</v>
      </c>
      <c r="C15" s="27" t="s">
        <v>40</v>
      </c>
      <c r="D15" s="36" t="s">
        <v>29</v>
      </c>
      <c r="E15" s="29"/>
      <c r="F15" s="30"/>
      <c r="G15" s="30"/>
      <c r="H15" s="31" t="s">
        <v>15</v>
      </c>
      <c r="I15" s="32" t="s">
        <v>41</v>
      </c>
      <c r="J15" s="25">
        <v>45938</v>
      </c>
      <c r="K15" s="47">
        <v>250000</v>
      </c>
      <c r="L15" s="34">
        <v>0</v>
      </c>
      <c r="M15" s="35">
        <f t="shared" si="0"/>
        <v>77290</v>
      </c>
    </row>
    <row r="16" spans="1:13" ht="37.799999999999997" customHeight="1" x14ac:dyDescent="0.25">
      <c r="A16" s="25">
        <v>45946</v>
      </c>
      <c r="B16" s="48" t="s">
        <v>39</v>
      </c>
      <c r="C16" s="27" t="s">
        <v>42</v>
      </c>
      <c r="D16" s="36" t="s">
        <v>29</v>
      </c>
      <c r="E16" s="49"/>
      <c r="F16" s="43"/>
      <c r="G16" s="43"/>
      <c r="H16" s="50" t="s">
        <v>43</v>
      </c>
      <c r="I16" s="54" t="s">
        <v>44</v>
      </c>
      <c r="J16" s="46">
        <v>45946</v>
      </c>
      <c r="K16" s="53">
        <v>250000</v>
      </c>
      <c r="L16" s="52">
        <v>0</v>
      </c>
      <c r="M16" s="35">
        <f t="shared" si="0"/>
        <v>327290</v>
      </c>
    </row>
    <row r="17" spans="1:13" ht="37.799999999999997" customHeight="1" x14ac:dyDescent="0.25">
      <c r="A17" s="25">
        <v>45953</v>
      </c>
      <c r="B17" s="48" t="s">
        <v>39</v>
      </c>
      <c r="C17" s="27" t="s">
        <v>45</v>
      </c>
      <c r="D17" s="36" t="s">
        <v>29</v>
      </c>
      <c r="E17" s="29"/>
      <c r="F17" s="30"/>
      <c r="G17" s="30"/>
      <c r="H17" s="31" t="s">
        <v>46</v>
      </c>
      <c r="I17" s="32" t="s">
        <v>47</v>
      </c>
      <c r="J17" s="46">
        <v>45953</v>
      </c>
      <c r="K17" s="47">
        <v>200000</v>
      </c>
      <c r="L17" s="34">
        <v>0</v>
      </c>
      <c r="M17" s="35">
        <f t="shared" si="0"/>
        <v>527290</v>
      </c>
    </row>
    <row r="18" spans="1:13" ht="37.799999999999997" customHeight="1" x14ac:dyDescent="0.25">
      <c r="A18" s="25">
        <v>45960</v>
      </c>
      <c r="B18" s="26"/>
      <c r="C18" s="44"/>
      <c r="D18" s="28"/>
      <c r="E18" s="29"/>
      <c r="F18" s="30"/>
      <c r="G18" s="30"/>
      <c r="H18" s="31"/>
      <c r="I18" s="32"/>
      <c r="J18" s="40"/>
      <c r="K18" s="33"/>
      <c r="L18" s="45">
        <v>8600</v>
      </c>
      <c r="M18" s="35">
        <f t="shared" si="0"/>
        <v>518690</v>
      </c>
    </row>
    <row r="19" spans="1:13" ht="59.4" customHeight="1" x14ac:dyDescent="0.25">
      <c r="A19" s="25">
        <v>45960</v>
      </c>
      <c r="B19" s="26" t="s">
        <v>48</v>
      </c>
      <c r="C19" s="27" t="s">
        <v>49</v>
      </c>
      <c r="D19" s="36" t="s">
        <v>29</v>
      </c>
      <c r="E19" s="29"/>
      <c r="F19" s="30"/>
      <c r="G19" s="30"/>
      <c r="H19" s="31" t="s">
        <v>23</v>
      </c>
      <c r="I19" s="32" t="s">
        <v>24</v>
      </c>
      <c r="J19" s="40" t="s">
        <v>24</v>
      </c>
      <c r="K19" s="47">
        <v>8600</v>
      </c>
      <c r="L19" s="34"/>
      <c r="M19" s="35">
        <f t="shared" si="0"/>
        <v>527290</v>
      </c>
    </row>
    <row r="20" spans="1:13" ht="54.6" customHeight="1" x14ac:dyDescent="0.25">
      <c r="A20" s="25">
        <v>45960</v>
      </c>
      <c r="B20" s="26" t="s">
        <v>50</v>
      </c>
      <c r="C20" s="27" t="s">
        <v>49</v>
      </c>
      <c r="D20" s="36" t="s">
        <v>29</v>
      </c>
      <c r="E20" s="29"/>
      <c r="F20" s="30"/>
      <c r="G20" s="30"/>
      <c r="H20" s="31" t="s">
        <v>23</v>
      </c>
      <c r="I20" s="32" t="s">
        <v>24</v>
      </c>
      <c r="J20" s="40" t="s">
        <v>24</v>
      </c>
      <c r="K20" s="47">
        <v>61600</v>
      </c>
      <c r="L20" s="34"/>
      <c r="M20" s="35">
        <f t="shared" si="0"/>
        <v>588890</v>
      </c>
    </row>
    <row r="21" spans="1:13" ht="37.799999999999997" customHeight="1" x14ac:dyDescent="0.25">
      <c r="A21" s="55">
        <v>45967</v>
      </c>
      <c r="B21" s="56" t="s">
        <v>51</v>
      </c>
      <c r="C21" s="57" t="s">
        <v>52</v>
      </c>
      <c r="D21" s="58" t="s">
        <v>29</v>
      </c>
      <c r="E21" s="58"/>
      <c r="F21" s="59"/>
      <c r="G21" s="59"/>
      <c r="H21" s="60" t="s">
        <v>53</v>
      </c>
      <c r="I21" s="61" t="s">
        <v>24</v>
      </c>
      <c r="J21" s="62" t="s">
        <v>24</v>
      </c>
      <c r="K21" s="63"/>
      <c r="L21" s="63">
        <v>69650</v>
      </c>
      <c r="M21" s="35">
        <f>IF(OR(K21&gt;0,L21&gt;0),M19+K21-L21,"")</f>
        <v>457640</v>
      </c>
    </row>
    <row r="22" spans="1:13" ht="37.799999999999997" customHeight="1" x14ac:dyDescent="0.25">
      <c r="A22" s="55">
        <v>45967</v>
      </c>
      <c r="B22" s="56" t="s">
        <v>54</v>
      </c>
      <c r="C22" s="64">
        <v>4013</v>
      </c>
      <c r="D22" s="58" t="s">
        <v>29</v>
      </c>
      <c r="E22" s="58"/>
      <c r="F22" s="59"/>
      <c r="G22" s="59"/>
      <c r="H22" s="60" t="s">
        <v>55</v>
      </c>
      <c r="I22" s="61" t="s">
        <v>56</v>
      </c>
      <c r="J22" s="62"/>
      <c r="K22" s="63">
        <v>69650</v>
      </c>
      <c r="L22" s="63"/>
      <c r="M22" s="35">
        <f>IF(OR(K22&gt;0,L22&gt;0),M20+K22-L22,"")</f>
        <v>658540</v>
      </c>
    </row>
    <row r="23" spans="1:13" ht="37.799999999999997" customHeight="1" x14ac:dyDescent="0.25">
      <c r="A23" s="25">
        <v>45974</v>
      </c>
      <c r="B23" s="48" t="s">
        <v>57</v>
      </c>
      <c r="C23" s="27" t="s">
        <v>58</v>
      </c>
      <c r="D23" s="36" t="s">
        <v>19</v>
      </c>
      <c r="E23" s="29"/>
      <c r="F23" s="30"/>
      <c r="G23" s="30"/>
      <c r="H23" s="31" t="s">
        <v>38</v>
      </c>
      <c r="I23" s="32" t="s">
        <v>24</v>
      </c>
      <c r="J23" s="40" t="s">
        <v>24</v>
      </c>
      <c r="K23" s="33"/>
      <c r="L23" s="45">
        <v>29600</v>
      </c>
      <c r="M23" s="35">
        <f t="shared" si="0"/>
        <v>628940</v>
      </c>
    </row>
    <row r="24" spans="1:13" ht="37.799999999999997" customHeight="1" x14ac:dyDescent="0.25">
      <c r="A24" s="25">
        <v>45974</v>
      </c>
      <c r="B24" s="48" t="s">
        <v>59</v>
      </c>
      <c r="C24" s="27" t="s">
        <v>60</v>
      </c>
      <c r="D24" s="36" t="s">
        <v>29</v>
      </c>
      <c r="E24" s="29"/>
      <c r="F24" s="30"/>
      <c r="G24" s="30"/>
      <c r="H24" s="31" t="s">
        <v>38</v>
      </c>
      <c r="I24" s="32"/>
      <c r="J24" s="40"/>
      <c r="K24" s="33"/>
      <c r="L24" s="45">
        <v>4350</v>
      </c>
      <c r="M24" s="35">
        <f t="shared" si="0"/>
        <v>624590</v>
      </c>
    </row>
    <row r="25" spans="1:13" ht="37.799999999999997" customHeight="1" x14ac:dyDescent="0.25">
      <c r="A25" s="25">
        <v>45974</v>
      </c>
      <c r="B25" s="48" t="s">
        <v>61</v>
      </c>
      <c r="C25" s="27" t="s">
        <v>62</v>
      </c>
      <c r="D25" s="36" t="s">
        <v>19</v>
      </c>
      <c r="E25" s="29"/>
      <c r="F25" s="30"/>
      <c r="G25" s="30"/>
      <c r="H25" s="31" t="s">
        <v>23</v>
      </c>
      <c r="I25" s="32"/>
      <c r="J25" s="40"/>
      <c r="K25" s="47">
        <v>29600</v>
      </c>
      <c r="L25" s="65"/>
      <c r="M25" s="35">
        <f t="shared" si="0"/>
        <v>654190</v>
      </c>
    </row>
    <row r="26" spans="1:13" ht="37.799999999999997" customHeight="1" x14ac:dyDescent="0.25">
      <c r="A26" s="25">
        <v>45974</v>
      </c>
      <c r="B26" s="48" t="s">
        <v>63</v>
      </c>
      <c r="C26" s="27" t="s">
        <v>64</v>
      </c>
      <c r="D26" s="36" t="s">
        <v>29</v>
      </c>
      <c r="E26" s="29"/>
      <c r="F26" s="30"/>
      <c r="G26" s="30"/>
      <c r="H26" s="31" t="s">
        <v>23</v>
      </c>
      <c r="I26" s="32" t="s">
        <v>24</v>
      </c>
      <c r="J26" s="40" t="s">
        <v>24</v>
      </c>
      <c r="K26" s="47">
        <v>4350</v>
      </c>
      <c r="L26" s="65"/>
      <c r="M26" s="35">
        <f t="shared" si="0"/>
        <v>658540</v>
      </c>
    </row>
    <row r="27" spans="1:13" ht="37.799999999999997" customHeight="1" x14ac:dyDescent="0.25">
      <c r="A27" s="25">
        <v>45980</v>
      </c>
      <c r="B27" s="26" t="s">
        <v>65</v>
      </c>
      <c r="C27" s="27" t="s">
        <v>66</v>
      </c>
      <c r="D27" s="36" t="s">
        <v>19</v>
      </c>
      <c r="E27" s="29"/>
      <c r="F27" s="30"/>
      <c r="G27" s="30"/>
      <c r="H27" s="31" t="s">
        <v>38</v>
      </c>
      <c r="I27" s="32"/>
      <c r="J27" s="40"/>
      <c r="K27" s="33"/>
      <c r="L27" s="66">
        <v>26400</v>
      </c>
      <c r="M27" s="35">
        <f t="shared" si="0"/>
        <v>632140</v>
      </c>
    </row>
    <row r="28" spans="1:13" ht="37.799999999999997" customHeight="1" x14ac:dyDescent="0.25">
      <c r="A28" s="25">
        <v>45980</v>
      </c>
      <c r="B28" s="26" t="s">
        <v>67</v>
      </c>
      <c r="C28" s="27" t="s">
        <v>68</v>
      </c>
      <c r="D28" s="36" t="s">
        <v>29</v>
      </c>
      <c r="E28" s="29"/>
      <c r="F28" s="30"/>
      <c r="G28" s="30"/>
      <c r="H28" s="31" t="s">
        <v>38</v>
      </c>
      <c r="I28" s="32"/>
      <c r="J28" s="40"/>
      <c r="K28" s="33"/>
      <c r="L28" s="45">
        <v>13050</v>
      </c>
      <c r="M28" s="35">
        <f t="shared" si="0"/>
        <v>619090</v>
      </c>
    </row>
    <row r="29" spans="1:13" ht="37.799999999999997" customHeight="1" x14ac:dyDescent="0.25">
      <c r="A29" s="25">
        <v>45980</v>
      </c>
      <c r="B29" s="26" t="s">
        <v>69</v>
      </c>
      <c r="C29" s="27" t="s">
        <v>70</v>
      </c>
      <c r="D29" s="36" t="s">
        <v>19</v>
      </c>
      <c r="E29" s="29"/>
      <c r="F29" s="30"/>
      <c r="G29" s="30"/>
      <c r="H29" s="31" t="s">
        <v>23</v>
      </c>
      <c r="I29" s="32"/>
      <c r="J29" s="40"/>
      <c r="K29" s="47">
        <v>26400</v>
      </c>
      <c r="L29" s="65"/>
      <c r="M29" s="35">
        <f t="shared" si="0"/>
        <v>645490</v>
      </c>
    </row>
    <row r="30" spans="1:13" ht="37.799999999999997" customHeight="1" x14ac:dyDescent="0.25">
      <c r="A30" s="25">
        <v>45980</v>
      </c>
      <c r="B30" s="26" t="s">
        <v>71</v>
      </c>
      <c r="C30" s="27" t="s">
        <v>70</v>
      </c>
      <c r="D30" s="36" t="s">
        <v>29</v>
      </c>
      <c r="E30" s="29"/>
      <c r="F30" s="30"/>
      <c r="G30" s="30"/>
      <c r="H30" s="31" t="s">
        <v>23</v>
      </c>
      <c r="I30" s="32"/>
      <c r="J30" s="40"/>
      <c r="K30" s="47">
        <v>13050</v>
      </c>
      <c r="L30" s="67"/>
      <c r="M30" s="35">
        <f t="shared" si="0"/>
        <v>658540</v>
      </c>
    </row>
    <row r="31" spans="1:13" ht="37.799999999999997" customHeight="1" x14ac:dyDescent="0.25">
      <c r="A31" s="25">
        <v>45988</v>
      </c>
      <c r="B31" s="26" t="s">
        <v>72</v>
      </c>
      <c r="C31" s="27" t="s">
        <v>73</v>
      </c>
      <c r="D31" s="36" t="s">
        <v>29</v>
      </c>
      <c r="E31" s="36" t="s">
        <v>74</v>
      </c>
      <c r="F31" s="43"/>
      <c r="G31" s="43"/>
      <c r="H31" s="31" t="s">
        <v>38</v>
      </c>
      <c r="I31" s="32"/>
      <c r="J31" s="40"/>
      <c r="K31" s="33"/>
      <c r="L31" s="68">
        <v>19900</v>
      </c>
      <c r="M31" s="35">
        <f t="shared" si="0"/>
        <v>638640</v>
      </c>
    </row>
    <row r="32" spans="1:13" ht="37.799999999999997" customHeight="1" x14ac:dyDescent="0.25">
      <c r="A32" s="25">
        <v>45988</v>
      </c>
      <c r="B32" s="26" t="s">
        <v>75</v>
      </c>
      <c r="C32" s="69" t="s">
        <v>76</v>
      </c>
      <c r="D32" s="36" t="s">
        <v>29</v>
      </c>
      <c r="E32" s="36" t="s">
        <v>74</v>
      </c>
      <c r="F32" s="43"/>
      <c r="G32" s="43"/>
      <c r="H32" s="31" t="s">
        <v>23</v>
      </c>
      <c r="I32" s="32"/>
      <c r="J32" s="40"/>
      <c r="K32" s="47">
        <v>19900</v>
      </c>
      <c r="L32" s="67"/>
      <c r="M32" s="35">
        <f t="shared" si="0"/>
        <v>658540</v>
      </c>
    </row>
    <row r="33" spans="1:13" ht="37.799999999999997" customHeight="1" x14ac:dyDescent="0.25">
      <c r="A33" s="25">
        <v>45995</v>
      </c>
      <c r="B33" s="26" t="s">
        <v>77</v>
      </c>
      <c r="C33" s="69" t="s">
        <v>78</v>
      </c>
      <c r="D33" s="36" t="s">
        <v>29</v>
      </c>
      <c r="E33" s="29"/>
      <c r="F33" s="30">
        <v>4</v>
      </c>
      <c r="G33" s="30">
        <v>4350</v>
      </c>
      <c r="H33" s="31" t="s">
        <v>53</v>
      </c>
      <c r="I33" s="70" t="s">
        <v>24</v>
      </c>
      <c r="J33" s="40" t="s">
        <v>24</v>
      </c>
      <c r="K33" s="33"/>
      <c r="L33" s="45">
        <f>F33*G33</f>
        <v>17400</v>
      </c>
      <c r="M33" s="35">
        <f t="shared" si="0"/>
        <v>641140</v>
      </c>
    </row>
    <row r="34" spans="1:13" ht="37.799999999999997" customHeight="1" x14ac:dyDescent="0.25">
      <c r="A34" s="41">
        <v>45995</v>
      </c>
      <c r="B34" s="26" t="s">
        <v>77</v>
      </c>
      <c r="C34" s="69" t="s">
        <v>78</v>
      </c>
      <c r="D34" s="36" t="s">
        <v>29</v>
      </c>
      <c r="E34" s="71"/>
      <c r="F34" s="30">
        <v>1000</v>
      </c>
      <c r="G34" s="30">
        <v>2.5</v>
      </c>
      <c r="H34" s="31" t="s">
        <v>53</v>
      </c>
      <c r="I34" s="70" t="s">
        <v>24</v>
      </c>
      <c r="J34" s="40" t="s">
        <v>24</v>
      </c>
      <c r="K34" s="33"/>
      <c r="L34" s="68">
        <f>F34*G34</f>
        <v>2500</v>
      </c>
      <c r="M34" s="35">
        <f t="shared" si="0"/>
        <v>638640</v>
      </c>
    </row>
    <row r="35" spans="1:13" ht="37.799999999999997" customHeight="1" x14ac:dyDescent="0.25">
      <c r="A35" s="41">
        <v>45995</v>
      </c>
      <c r="B35" s="26" t="s">
        <v>79</v>
      </c>
      <c r="C35" s="69" t="s">
        <v>80</v>
      </c>
      <c r="D35" s="36" t="s">
        <v>29</v>
      </c>
      <c r="E35" s="29"/>
      <c r="F35" s="30"/>
      <c r="G35" s="30"/>
      <c r="H35" s="31" t="s">
        <v>23</v>
      </c>
      <c r="I35" s="70" t="s">
        <v>24</v>
      </c>
      <c r="J35" s="40" t="s">
        <v>24</v>
      </c>
      <c r="K35" s="47">
        <v>19900</v>
      </c>
      <c r="L35" s="67"/>
      <c r="M35" s="35">
        <f t="shared" si="0"/>
        <v>658540</v>
      </c>
    </row>
    <row r="36" spans="1:13" ht="37.799999999999997" customHeight="1" x14ac:dyDescent="0.25">
      <c r="A36" s="25">
        <v>46002</v>
      </c>
      <c r="B36" s="26" t="s">
        <v>81</v>
      </c>
      <c r="C36" s="69" t="s">
        <v>82</v>
      </c>
      <c r="D36" s="36" t="s">
        <v>29</v>
      </c>
      <c r="E36" s="29"/>
      <c r="F36" s="30">
        <v>4350</v>
      </c>
      <c r="G36" s="30">
        <v>3</v>
      </c>
      <c r="H36" s="31" t="s">
        <v>53</v>
      </c>
      <c r="I36" s="70" t="s">
        <v>24</v>
      </c>
      <c r="J36" s="40" t="s">
        <v>24</v>
      </c>
      <c r="K36" s="33"/>
      <c r="L36" s="67">
        <f>G36*F36</f>
        <v>13050</v>
      </c>
      <c r="M36" s="35">
        <f t="shared" si="0"/>
        <v>645490</v>
      </c>
    </row>
    <row r="37" spans="1:13" ht="37.799999999999997" customHeight="1" x14ac:dyDescent="0.25">
      <c r="A37" s="25">
        <v>46002</v>
      </c>
      <c r="B37" s="26" t="s">
        <v>83</v>
      </c>
      <c r="C37" s="69" t="s">
        <v>84</v>
      </c>
      <c r="D37" s="36" t="s">
        <v>29</v>
      </c>
      <c r="E37" s="29"/>
      <c r="F37" s="30"/>
      <c r="G37" s="30"/>
      <c r="H37" s="31" t="s">
        <v>23</v>
      </c>
      <c r="I37" s="70" t="s">
        <v>24</v>
      </c>
      <c r="J37" s="40" t="s">
        <v>24</v>
      </c>
      <c r="K37" s="33">
        <v>13050</v>
      </c>
      <c r="L37" s="67"/>
      <c r="M37" s="35">
        <f t="shared" si="0"/>
        <v>658540</v>
      </c>
    </row>
    <row r="38" spans="1:13" ht="37.799999999999997" customHeight="1" x14ac:dyDescent="0.25">
      <c r="A38" s="25">
        <v>46016</v>
      </c>
      <c r="B38" s="26" t="s">
        <v>85</v>
      </c>
      <c r="C38" s="69" t="s">
        <v>86</v>
      </c>
      <c r="D38" s="36" t="s">
        <v>29</v>
      </c>
      <c r="E38" s="29"/>
      <c r="F38" s="30">
        <v>1</v>
      </c>
      <c r="G38" s="30">
        <v>4350</v>
      </c>
      <c r="H38" s="31" t="s">
        <v>53</v>
      </c>
      <c r="I38" s="70" t="s">
        <v>24</v>
      </c>
      <c r="J38" s="40" t="s">
        <v>24</v>
      </c>
      <c r="K38" s="33"/>
      <c r="L38" s="67">
        <v>4350</v>
      </c>
      <c r="M38" s="35">
        <f t="shared" si="0"/>
        <v>654190</v>
      </c>
    </row>
    <row r="39" spans="1:13" ht="37.799999999999997" customHeight="1" x14ac:dyDescent="0.25">
      <c r="A39" s="41">
        <v>46016</v>
      </c>
      <c r="B39" s="26" t="s">
        <v>87</v>
      </c>
      <c r="C39" s="69" t="s">
        <v>88</v>
      </c>
      <c r="D39" s="36" t="s">
        <v>29</v>
      </c>
      <c r="E39" s="29"/>
      <c r="F39" s="30"/>
      <c r="G39" s="30"/>
      <c r="H39" s="31" t="s">
        <v>23</v>
      </c>
      <c r="I39" s="70" t="s">
        <v>24</v>
      </c>
      <c r="J39" s="40" t="s">
        <v>24</v>
      </c>
      <c r="K39" s="33">
        <v>4350</v>
      </c>
      <c r="L39" s="67"/>
      <c r="M39" s="35">
        <f t="shared" si="0"/>
        <v>658540</v>
      </c>
    </row>
    <row r="40" spans="1:13" s="84" customFormat="1" ht="37.799999999999997" customHeight="1" x14ac:dyDescent="0.25">
      <c r="A40" s="72">
        <v>46044</v>
      </c>
      <c r="B40" s="73" t="s">
        <v>89</v>
      </c>
      <c r="C40" s="74" t="s">
        <v>90</v>
      </c>
      <c r="D40" s="75" t="s">
        <v>29</v>
      </c>
      <c r="E40" s="76"/>
      <c r="F40" s="77">
        <v>1</v>
      </c>
      <c r="G40" s="77">
        <v>4350</v>
      </c>
      <c r="H40" s="78" t="s">
        <v>53</v>
      </c>
      <c r="I40" s="79" t="s">
        <v>24</v>
      </c>
      <c r="J40" s="80" t="s">
        <v>24</v>
      </c>
      <c r="K40" s="81"/>
      <c r="L40" s="82">
        <v>4350</v>
      </c>
      <c r="M40" s="83">
        <f t="shared" si="0"/>
        <v>654190</v>
      </c>
    </row>
    <row r="41" spans="1:13" x14ac:dyDescent="0.25">
      <c r="A41" s="25">
        <v>46044</v>
      </c>
      <c r="B41" s="26" t="s">
        <v>91</v>
      </c>
      <c r="C41" s="69" t="s">
        <v>92</v>
      </c>
      <c r="D41" s="36" t="s">
        <v>29</v>
      </c>
      <c r="E41" s="29"/>
      <c r="F41" s="30"/>
      <c r="G41" s="30"/>
      <c r="H41" s="31" t="s">
        <v>23</v>
      </c>
      <c r="I41" s="70" t="s">
        <v>24</v>
      </c>
      <c r="J41" s="40" t="s">
        <v>24</v>
      </c>
      <c r="K41" s="33">
        <v>4350</v>
      </c>
      <c r="L41" s="67"/>
      <c r="M41" s="35">
        <f t="shared" si="0"/>
        <v>658540</v>
      </c>
    </row>
    <row r="42" spans="1:13" x14ac:dyDescent="0.25">
      <c r="A42" s="25">
        <v>46056</v>
      </c>
      <c r="B42" s="26" t="s">
        <v>89</v>
      </c>
      <c r="C42" s="69" t="s">
        <v>93</v>
      </c>
      <c r="D42" s="36" t="s">
        <v>29</v>
      </c>
      <c r="E42" s="29"/>
      <c r="F42" s="30">
        <v>1</v>
      </c>
      <c r="G42" s="30">
        <v>4350</v>
      </c>
      <c r="H42" s="31" t="s">
        <v>53</v>
      </c>
      <c r="I42" s="70" t="s">
        <v>24</v>
      </c>
      <c r="J42" s="40" t="s">
        <v>24</v>
      </c>
      <c r="K42" s="33"/>
      <c r="L42" s="67">
        <v>4350</v>
      </c>
      <c r="M42" s="35">
        <f t="shared" si="0"/>
        <v>654190</v>
      </c>
    </row>
    <row r="43" spans="1:13" x14ac:dyDescent="0.25">
      <c r="A43" s="25">
        <v>46056</v>
      </c>
      <c r="B43" s="26" t="s">
        <v>91</v>
      </c>
      <c r="C43" s="69" t="s">
        <v>94</v>
      </c>
      <c r="D43" s="36" t="s">
        <v>29</v>
      </c>
      <c r="E43" s="29"/>
      <c r="F43" s="30"/>
      <c r="G43" s="30"/>
      <c r="H43" s="31" t="s">
        <v>23</v>
      </c>
      <c r="I43" s="70" t="s">
        <v>24</v>
      </c>
      <c r="J43" s="40" t="s">
        <v>24</v>
      </c>
      <c r="K43" s="33">
        <v>4350</v>
      </c>
      <c r="L43" s="67"/>
      <c r="M43" s="35">
        <f t="shared" si="0"/>
        <v>658540</v>
      </c>
    </row>
    <row r="44" spans="1:13" x14ac:dyDescent="0.25">
      <c r="A44" s="41">
        <v>46121</v>
      </c>
      <c r="B44" s="26" t="s">
        <v>95</v>
      </c>
      <c r="C44" s="69">
        <v>56</v>
      </c>
      <c r="D44" s="36" t="s">
        <v>96</v>
      </c>
      <c r="E44" s="36" t="s">
        <v>97</v>
      </c>
      <c r="F44" s="30"/>
      <c r="G44" s="30"/>
      <c r="H44" s="31" t="s">
        <v>53</v>
      </c>
      <c r="I44" s="70" t="s">
        <v>24</v>
      </c>
      <c r="J44" s="40" t="s">
        <v>24</v>
      </c>
      <c r="K44" s="33"/>
      <c r="L44" s="34">
        <v>79710</v>
      </c>
      <c r="M44" s="35">
        <f t="shared" si="0"/>
        <v>578830</v>
      </c>
    </row>
    <row r="45" spans="1:13" x14ac:dyDescent="0.25">
      <c r="A45" s="25">
        <v>46121</v>
      </c>
      <c r="B45" s="26" t="s">
        <v>98</v>
      </c>
      <c r="C45" s="69">
        <v>10094</v>
      </c>
      <c r="D45" s="36" t="s">
        <v>96</v>
      </c>
      <c r="E45" s="36" t="s">
        <v>97</v>
      </c>
      <c r="F45" s="30"/>
      <c r="G45" s="30"/>
      <c r="H45" s="31" t="s">
        <v>23</v>
      </c>
      <c r="I45" s="70" t="s">
        <v>24</v>
      </c>
      <c r="J45" s="40" t="s">
        <v>24</v>
      </c>
      <c r="K45" s="33">
        <v>79710</v>
      </c>
      <c r="L45" s="67"/>
      <c r="M45" s="35">
        <f t="shared" si="0"/>
        <v>658540</v>
      </c>
    </row>
    <row r="46" spans="1:13" x14ac:dyDescent="0.25">
      <c r="A46" s="41">
        <v>46128</v>
      </c>
      <c r="B46" s="26" t="s">
        <v>99</v>
      </c>
      <c r="C46" s="69">
        <v>60</v>
      </c>
      <c r="D46" s="36" t="s">
        <v>96</v>
      </c>
      <c r="E46" s="36" t="s">
        <v>97</v>
      </c>
      <c r="F46" s="30"/>
      <c r="G46" s="30"/>
      <c r="H46" s="31" t="s">
        <v>53</v>
      </c>
      <c r="I46" s="70" t="s">
        <v>24</v>
      </c>
      <c r="J46" s="40" t="s">
        <v>24</v>
      </c>
      <c r="K46" s="33"/>
      <c r="L46" s="34">
        <v>42200</v>
      </c>
      <c r="M46" s="35">
        <f t="shared" si="0"/>
        <v>616340</v>
      </c>
    </row>
    <row r="47" spans="1:13" x14ac:dyDescent="0.25">
      <c r="A47" s="41">
        <v>46128</v>
      </c>
      <c r="B47" s="26" t="s">
        <v>100</v>
      </c>
      <c r="C47" s="69">
        <v>10138</v>
      </c>
      <c r="D47" s="36" t="s">
        <v>96</v>
      </c>
      <c r="E47" s="36" t="s">
        <v>97</v>
      </c>
      <c r="F47" s="30"/>
      <c r="G47" s="30"/>
      <c r="H47" s="31" t="s">
        <v>23</v>
      </c>
      <c r="I47" s="70" t="s">
        <v>24</v>
      </c>
      <c r="J47" s="40" t="s">
        <v>24</v>
      </c>
      <c r="K47" s="33">
        <v>42200</v>
      </c>
      <c r="L47" s="67"/>
      <c r="M47" s="35">
        <f t="shared" si="0"/>
        <v>658540</v>
      </c>
    </row>
    <row r="48" spans="1:13" x14ac:dyDescent="0.25">
      <c r="A48" s="41">
        <v>46135</v>
      </c>
      <c r="B48" s="26" t="s">
        <v>101</v>
      </c>
      <c r="C48" s="69">
        <v>65</v>
      </c>
      <c r="D48" s="36" t="s">
        <v>96</v>
      </c>
      <c r="E48" s="36" t="s">
        <v>97</v>
      </c>
      <c r="F48" s="30"/>
      <c r="G48" s="30"/>
      <c r="H48" s="31" t="s">
        <v>53</v>
      </c>
      <c r="I48" s="70" t="s">
        <v>24</v>
      </c>
      <c r="J48" s="40" t="s">
        <v>24</v>
      </c>
      <c r="K48" s="33"/>
      <c r="L48" s="34">
        <v>4350</v>
      </c>
      <c r="M48" s="35">
        <f t="shared" si="0"/>
        <v>654190</v>
      </c>
    </row>
    <row r="49" spans="1:13" x14ac:dyDescent="0.25">
      <c r="A49" s="41">
        <v>46135</v>
      </c>
      <c r="B49" s="26" t="s">
        <v>102</v>
      </c>
      <c r="C49" s="69">
        <v>66</v>
      </c>
      <c r="D49" s="36" t="s">
        <v>96</v>
      </c>
      <c r="E49" s="36" t="s">
        <v>97</v>
      </c>
      <c r="F49" s="30"/>
      <c r="G49" s="30"/>
      <c r="H49" s="31" t="s">
        <v>53</v>
      </c>
      <c r="I49" s="70" t="s">
        <v>24</v>
      </c>
      <c r="J49" s="40" t="s">
        <v>24</v>
      </c>
      <c r="K49" s="33"/>
      <c r="L49" s="34">
        <v>28800</v>
      </c>
      <c r="M49" s="35">
        <f t="shared" si="0"/>
        <v>625390</v>
      </c>
    </row>
    <row r="50" spans="1:13" x14ac:dyDescent="0.25">
      <c r="A50" s="41">
        <v>46135</v>
      </c>
      <c r="B50" s="26" t="s">
        <v>103</v>
      </c>
      <c r="C50" s="69">
        <v>10208</v>
      </c>
      <c r="D50" s="36" t="s">
        <v>96</v>
      </c>
      <c r="E50" s="36" t="s">
        <v>97</v>
      </c>
      <c r="F50" s="30"/>
      <c r="G50" s="30"/>
      <c r="H50" s="31" t="s">
        <v>23</v>
      </c>
      <c r="I50" s="70" t="s">
        <v>24</v>
      </c>
      <c r="J50" s="40" t="s">
        <v>24</v>
      </c>
      <c r="K50" s="33">
        <v>4350</v>
      </c>
      <c r="L50" s="67"/>
      <c r="M50" s="35">
        <f t="shared" si="0"/>
        <v>629740</v>
      </c>
    </row>
    <row r="51" spans="1:13" x14ac:dyDescent="0.25">
      <c r="A51" s="41">
        <v>46135</v>
      </c>
      <c r="B51" s="26" t="s">
        <v>104</v>
      </c>
      <c r="C51" s="69">
        <v>10208</v>
      </c>
      <c r="D51" s="36" t="s">
        <v>96</v>
      </c>
      <c r="E51" s="36" t="s">
        <v>97</v>
      </c>
      <c r="F51" s="30"/>
      <c r="G51" s="30"/>
      <c r="H51" s="31" t="s">
        <v>23</v>
      </c>
      <c r="I51" s="70" t="s">
        <v>24</v>
      </c>
      <c r="J51" s="40" t="s">
        <v>24</v>
      </c>
      <c r="K51" s="33">
        <v>28800</v>
      </c>
      <c r="L51" s="34"/>
      <c r="M51" s="35">
        <f t="shared" si="0"/>
        <v>658540</v>
      </c>
    </row>
    <row r="52" spans="1:13" x14ac:dyDescent="0.25">
      <c r="A52" s="41">
        <v>46148</v>
      </c>
      <c r="B52" s="26" t="s">
        <v>105</v>
      </c>
      <c r="C52" s="69">
        <v>70</v>
      </c>
      <c r="D52" s="36" t="s">
        <v>106</v>
      </c>
      <c r="E52" s="29"/>
      <c r="F52" s="30"/>
      <c r="G52" s="30"/>
      <c r="H52" s="31" t="s">
        <v>53</v>
      </c>
      <c r="I52" s="70" t="s">
        <v>24</v>
      </c>
      <c r="J52" s="40" t="s">
        <v>24</v>
      </c>
      <c r="K52" s="33"/>
      <c r="L52" s="67">
        <v>1088</v>
      </c>
      <c r="M52" s="35">
        <f t="shared" si="0"/>
        <v>657452</v>
      </c>
    </row>
    <row r="53" spans="1:13" x14ac:dyDescent="0.25">
      <c r="A53" s="41">
        <v>46148</v>
      </c>
      <c r="B53" s="26" t="s">
        <v>107</v>
      </c>
      <c r="C53" s="69">
        <v>10304</v>
      </c>
      <c r="D53" s="36" t="s">
        <v>106</v>
      </c>
      <c r="E53" s="29"/>
      <c r="F53" s="30"/>
      <c r="G53" s="30"/>
      <c r="H53" s="31" t="s">
        <v>23</v>
      </c>
      <c r="I53" s="70" t="s">
        <v>24</v>
      </c>
      <c r="J53" s="40" t="s">
        <v>24</v>
      </c>
      <c r="K53" s="33">
        <v>1088</v>
      </c>
      <c r="L53" s="67"/>
      <c r="M53" s="35">
        <f t="shared" si="0"/>
        <v>658540</v>
      </c>
    </row>
    <row r="54" spans="1:13" x14ac:dyDescent="0.25">
      <c r="A54" s="41">
        <v>46148</v>
      </c>
      <c r="B54" s="26" t="s">
        <v>108</v>
      </c>
      <c r="C54" s="69">
        <v>69</v>
      </c>
      <c r="D54" s="36" t="s">
        <v>96</v>
      </c>
      <c r="E54" s="29"/>
      <c r="F54" s="30">
        <v>3</v>
      </c>
      <c r="G54" s="30">
        <f>L54/F54</f>
        <v>4350</v>
      </c>
      <c r="H54" s="31" t="s">
        <v>53</v>
      </c>
      <c r="I54" s="70" t="s">
        <v>24</v>
      </c>
      <c r="J54" s="40" t="s">
        <v>24</v>
      </c>
      <c r="K54" s="33"/>
      <c r="L54" s="67">
        <v>13050</v>
      </c>
      <c r="M54" s="35">
        <f t="shared" si="0"/>
        <v>645490</v>
      </c>
    </row>
    <row r="55" spans="1:13" x14ac:dyDescent="0.25">
      <c r="A55" s="41">
        <v>46148</v>
      </c>
      <c r="B55" s="26" t="s">
        <v>109</v>
      </c>
      <c r="C55" s="69">
        <v>10304</v>
      </c>
      <c r="D55" s="36" t="s">
        <v>96</v>
      </c>
      <c r="E55" s="29"/>
      <c r="F55" s="30">
        <v>3</v>
      </c>
      <c r="G55" s="30">
        <v>4350</v>
      </c>
      <c r="H55" s="31" t="s">
        <v>23</v>
      </c>
      <c r="I55" s="70" t="s">
        <v>24</v>
      </c>
      <c r="J55" s="40" t="s">
        <v>24</v>
      </c>
      <c r="K55" s="33">
        <v>13050</v>
      </c>
      <c r="L55" s="34"/>
      <c r="M55" s="35">
        <f t="shared" si="0"/>
        <v>658540</v>
      </c>
    </row>
    <row r="56" spans="1:13" x14ac:dyDescent="0.25">
      <c r="A56" s="41">
        <v>46156</v>
      </c>
      <c r="B56" s="26" t="s">
        <v>108</v>
      </c>
      <c r="C56" s="69">
        <v>82</v>
      </c>
      <c r="D56" s="36" t="s">
        <v>96</v>
      </c>
      <c r="E56" s="29"/>
      <c r="F56" s="30">
        <v>3</v>
      </c>
      <c r="G56" s="30">
        <f>L56/F56</f>
        <v>4350</v>
      </c>
      <c r="H56" s="31" t="s">
        <v>53</v>
      </c>
      <c r="I56" s="70" t="s">
        <v>24</v>
      </c>
      <c r="J56" s="40" t="s">
        <v>24</v>
      </c>
      <c r="K56" s="33"/>
      <c r="L56" s="67">
        <v>13050</v>
      </c>
      <c r="M56" s="35">
        <f t="shared" si="0"/>
        <v>645490</v>
      </c>
    </row>
    <row r="57" spans="1:13" x14ac:dyDescent="0.25">
      <c r="A57" s="41">
        <v>46156</v>
      </c>
      <c r="B57" s="26" t="s">
        <v>109</v>
      </c>
      <c r="C57" s="69">
        <v>10421</v>
      </c>
      <c r="D57" s="36" t="s">
        <v>96</v>
      </c>
      <c r="E57" s="29"/>
      <c r="F57" s="30">
        <v>3</v>
      </c>
      <c r="G57" s="30">
        <v>4350</v>
      </c>
      <c r="H57" s="31" t="s">
        <v>23</v>
      </c>
      <c r="I57" s="70" t="s">
        <v>24</v>
      </c>
      <c r="J57" s="40" t="s">
        <v>24</v>
      </c>
      <c r="K57" s="33">
        <v>13050</v>
      </c>
      <c r="L57" s="34"/>
      <c r="M57" s="35">
        <f t="shared" si="0"/>
        <v>658540</v>
      </c>
    </row>
    <row r="58" spans="1:13" x14ac:dyDescent="0.25">
      <c r="A58" s="41">
        <v>46163</v>
      </c>
      <c r="B58" s="26" t="s">
        <v>110</v>
      </c>
      <c r="C58" s="69">
        <v>83</v>
      </c>
      <c r="D58" s="36" t="s">
        <v>96</v>
      </c>
      <c r="E58" s="29"/>
      <c r="F58" s="30">
        <v>3</v>
      </c>
      <c r="G58" s="30">
        <v>4350</v>
      </c>
      <c r="H58" s="31" t="s">
        <v>53</v>
      </c>
      <c r="I58" s="70" t="s">
        <v>24</v>
      </c>
      <c r="J58" s="40" t="s">
        <v>24</v>
      </c>
      <c r="K58" s="33"/>
      <c r="L58" s="67">
        <v>13050</v>
      </c>
      <c r="M58" s="35">
        <f t="shared" si="0"/>
        <v>645490</v>
      </c>
    </row>
    <row r="59" spans="1:13" x14ac:dyDescent="0.25">
      <c r="A59" s="41">
        <v>46163</v>
      </c>
      <c r="B59" s="26" t="s">
        <v>111</v>
      </c>
      <c r="C59" s="69">
        <v>10466</v>
      </c>
      <c r="D59" s="36" t="s">
        <v>96</v>
      </c>
      <c r="E59" s="29"/>
      <c r="F59" s="30">
        <v>3</v>
      </c>
      <c r="G59" s="30">
        <v>4350</v>
      </c>
      <c r="H59" s="31" t="s">
        <v>23</v>
      </c>
      <c r="I59" s="70" t="s">
        <v>24</v>
      </c>
      <c r="J59" s="40" t="s">
        <v>24</v>
      </c>
      <c r="K59" s="33">
        <v>13050</v>
      </c>
      <c r="L59" s="34"/>
      <c r="M59" s="35">
        <f t="shared" si="0"/>
        <v>658540</v>
      </c>
    </row>
    <row r="60" spans="1:13" ht="31.2" x14ac:dyDescent="0.25">
      <c r="A60" s="85">
        <v>46211</v>
      </c>
      <c r="B60" s="86" t="s">
        <v>112</v>
      </c>
      <c r="C60" s="69">
        <v>104</v>
      </c>
      <c r="D60" s="36" t="s">
        <v>96</v>
      </c>
      <c r="E60" s="29"/>
      <c r="F60" s="30"/>
      <c r="G60" s="30"/>
      <c r="H60" s="31" t="s">
        <v>53</v>
      </c>
      <c r="I60" s="70" t="s">
        <v>24</v>
      </c>
      <c r="J60" s="40" t="s">
        <v>24</v>
      </c>
      <c r="K60" s="33"/>
      <c r="L60" s="67">
        <v>11050</v>
      </c>
      <c r="M60" s="35">
        <f t="shared" si="0"/>
        <v>647490</v>
      </c>
    </row>
    <row r="61" spans="1:13" ht="46.8" x14ac:dyDescent="0.25">
      <c r="A61" s="85">
        <v>46211</v>
      </c>
      <c r="B61" s="86" t="s">
        <v>113</v>
      </c>
      <c r="C61" s="69">
        <v>10723</v>
      </c>
      <c r="D61" s="36" t="s">
        <v>96</v>
      </c>
      <c r="E61" s="29"/>
      <c r="F61" s="30"/>
      <c r="G61" s="30"/>
      <c r="H61" s="31" t="s">
        <v>23</v>
      </c>
      <c r="I61" s="70" t="s">
        <v>24</v>
      </c>
      <c r="J61" s="40" t="s">
        <v>24</v>
      </c>
      <c r="K61" s="33">
        <v>11050</v>
      </c>
      <c r="L61" s="67"/>
      <c r="M61" s="35">
        <f t="shared" si="0"/>
        <v>658540</v>
      </c>
    </row>
    <row r="62" spans="1:13" ht="31.2" x14ac:dyDescent="0.25">
      <c r="A62" s="85">
        <v>46219</v>
      </c>
      <c r="B62" s="48" t="s">
        <v>114</v>
      </c>
      <c r="C62" s="69">
        <v>116</v>
      </c>
      <c r="D62" s="36" t="s">
        <v>29</v>
      </c>
      <c r="E62" s="29"/>
      <c r="F62" s="30"/>
      <c r="G62" s="30"/>
      <c r="H62" s="31" t="s">
        <v>53</v>
      </c>
      <c r="I62" s="70" t="s">
        <v>24</v>
      </c>
      <c r="J62" s="40" t="s">
        <v>24</v>
      </c>
      <c r="K62" s="33"/>
      <c r="L62" s="67">
        <v>184800</v>
      </c>
      <c r="M62" s="35">
        <f t="shared" si="0"/>
        <v>473740</v>
      </c>
    </row>
    <row r="63" spans="1:13" ht="31.2" x14ac:dyDescent="0.25">
      <c r="A63" s="85">
        <v>46219</v>
      </c>
      <c r="B63" s="48" t="s">
        <v>115</v>
      </c>
      <c r="C63" s="69">
        <v>17259</v>
      </c>
      <c r="D63" s="36" t="s">
        <v>29</v>
      </c>
      <c r="E63" s="29"/>
      <c r="F63" s="30"/>
      <c r="G63" s="30"/>
      <c r="H63" s="31" t="s">
        <v>23</v>
      </c>
      <c r="I63" s="70" t="s">
        <v>24</v>
      </c>
      <c r="J63" s="40" t="s">
        <v>24</v>
      </c>
      <c r="K63" s="33">
        <v>184800</v>
      </c>
      <c r="L63" s="67"/>
      <c r="M63" s="35">
        <f t="shared" si="0"/>
        <v>658540</v>
      </c>
    </row>
    <row r="64" spans="1:13" x14ac:dyDescent="0.25">
      <c r="A64" s="85"/>
      <c r="B64" s="48"/>
      <c r="C64" s="69"/>
      <c r="D64" s="36"/>
      <c r="E64" s="29"/>
      <c r="F64" s="30"/>
      <c r="G64" s="30"/>
      <c r="H64" s="87"/>
      <c r="I64" s="70"/>
      <c r="J64" s="40"/>
      <c r="K64" s="33"/>
      <c r="L64" s="67"/>
      <c r="M64" s="35" t="str">
        <f t="shared" si="0"/>
        <v/>
      </c>
    </row>
    <row r="65" spans="1:13" x14ac:dyDescent="0.25">
      <c r="A65" s="41"/>
      <c r="B65" s="26"/>
      <c r="C65" s="69"/>
      <c r="D65" s="36"/>
      <c r="E65" s="29"/>
      <c r="F65" s="30"/>
      <c r="G65" s="30"/>
      <c r="H65" s="31"/>
      <c r="I65" s="32"/>
      <c r="J65" s="40"/>
      <c r="K65" s="33"/>
      <c r="L65" s="67"/>
      <c r="M65" s="35" t="str">
        <f t="shared" si="0"/>
        <v/>
      </c>
    </row>
    <row r="66" spans="1:13" x14ac:dyDescent="0.25">
      <c r="A66" s="41"/>
      <c r="B66" s="26"/>
      <c r="C66" s="69"/>
      <c r="D66" s="28"/>
      <c r="E66" s="29"/>
      <c r="F66" s="30"/>
      <c r="G66" s="30"/>
      <c r="H66" s="31"/>
      <c r="I66" s="32"/>
      <c r="J66" s="40"/>
      <c r="K66" s="33"/>
      <c r="L66" s="67"/>
      <c r="M66" s="35" t="str">
        <f t="shared" si="0"/>
        <v/>
      </c>
    </row>
    <row r="67" spans="1:13" x14ac:dyDescent="0.25">
      <c r="A67" s="85"/>
      <c r="B67" s="48"/>
      <c r="C67" s="88"/>
      <c r="D67" s="28"/>
      <c r="E67" s="29"/>
      <c r="F67" s="30"/>
      <c r="G67" s="30"/>
      <c r="H67" s="87"/>
      <c r="I67" s="70"/>
      <c r="J67" s="40"/>
      <c r="K67" s="33"/>
      <c r="L67" s="67"/>
      <c r="M67" s="35" t="str">
        <f t="shared" si="0"/>
        <v/>
      </c>
    </row>
    <row r="68" spans="1:13" x14ac:dyDescent="0.25">
      <c r="A68" s="41"/>
      <c r="B68" s="26"/>
      <c r="C68" s="88"/>
      <c r="D68" s="28"/>
      <c r="E68" s="29"/>
      <c r="F68" s="30"/>
      <c r="G68" s="30"/>
      <c r="H68" s="89"/>
      <c r="I68" s="70"/>
      <c r="J68" s="40"/>
      <c r="K68" s="33"/>
      <c r="L68" s="67"/>
      <c r="M68" s="35" t="str">
        <f t="shared" si="0"/>
        <v/>
      </c>
    </row>
    <row r="69" spans="1:13" x14ac:dyDescent="0.25">
      <c r="A69" s="41"/>
      <c r="B69" s="26"/>
      <c r="C69" s="88"/>
      <c r="D69" s="28"/>
      <c r="E69" s="29"/>
      <c r="F69" s="30"/>
      <c r="G69" s="30"/>
      <c r="H69" s="31"/>
      <c r="I69" s="70"/>
      <c r="J69" s="40"/>
      <c r="K69" s="33"/>
      <c r="L69" s="67"/>
      <c r="M69" s="35" t="str">
        <f t="shared" si="0"/>
        <v/>
      </c>
    </row>
    <row r="70" spans="1:13" x14ac:dyDescent="0.25">
      <c r="A70" s="41"/>
      <c r="B70" s="26"/>
      <c r="C70" s="88"/>
      <c r="D70" s="28"/>
      <c r="E70" s="29"/>
      <c r="F70" s="30"/>
      <c r="G70" s="30"/>
      <c r="H70" s="89"/>
      <c r="I70" s="70"/>
      <c r="J70" s="40"/>
      <c r="K70" s="33"/>
      <c r="L70" s="67"/>
      <c r="M70" s="35" t="str">
        <f t="shared" ref="M70:M103" si="1">IF(OR(K70&gt;0,L70&gt;0),M69+K70-L70,"")</f>
        <v/>
      </c>
    </row>
    <row r="71" spans="1:13" x14ac:dyDescent="0.25">
      <c r="A71" s="41"/>
      <c r="B71" s="26"/>
      <c r="C71" s="88"/>
      <c r="D71" s="28"/>
      <c r="E71" s="29"/>
      <c r="F71" s="30"/>
      <c r="G71" s="30"/>
      <c r="H71" s="89"/>
      <c r="I71" s="70"/>
      <c r="J71" s="40"/>
      <c r="K71" s="33"/>
      <c r="L71" s="67"/>
      <c r="M71" s="35" t="str">
        <f t="shared" si="1"/>
        <v/>
      </c>
    </row>
    <row r="72" spans="1:13" x14ac:dyDescent="0.25">
      <c r="A72" s="25"/>
      <c r="B72" s="26"/>
      <c r="C72" s="88"/>
      <c r="D72" s="28"/>
      <c r="E72" s="29"/>
      <c r="F72" s="30"/>
      <c r="G72" s="30"/>
      <c r="H72" s="31"/>
      <c r="I72" s="32"/>
      <c r="J72" s="40"/>
      <c r="K72" s="33"/>
      <c r="L72" s="67"/>
      <c r="M72" s="35" t="str">
        <f t="shared" si="1"/>
        <v/>
      </c>
    </row>
    <row r="73" spans="1:13" x14ac:dyDescent="0.25">
      <c r="A73" s="85"/>
      <c r="B73" s="48"/>
      <c r="C73" s="88"/>
      <c r="D73" s="28"/>
      <c r="E73" s="29"/>
      <c r="F73" s="30"/>
      <c r="G73" s="30"/>
      <c r="H73" s="87"/>
      <c r="I73" s="70"/>
      <c r="J73" s="40"/>
      <c r="K73" s="33"/>
      <c r="L73" s="67"/>
      <c r="M73" s="35" t="str">
        <f t="shared" si="1"/>
        <v/>
      </c>
    </row>
    <row r="74" spans="1:13" x14ac:dyDescent="0.25">
      <c r="A74" s="25"/>
      <c r="B74" s="26"/>
      <c r="C74" s="88"/>
      <c r="D74" s="28"/>
      <c r="E74" s="29"/>
      <c r="F74" s="30"/>
      <c r="G74" s="30"/>
      <c r="H74" s="31"/>
      <c r="I74" s="70"/>
      <c r="J74" s="40"/>
      <c r="K74" s="33"/>
      <c r="L74" s="67"/>
      <c r="M74" s="35" t="str">
        <f t="shared" si="1"/>
        <v/>
      </c>
    </row>
    <row r="75" spans="1:13" x14ac:dyDescent="0.25">
      <c r="A75" s="41"/>
      <c r="B75" s="26"/>
      <c r="C75" s="88"/>
      <c r="D75" s="28"/>
      <c r="E75" s="29"/>
      <c r="F75" s="30"/>
      <c r="G75" s="30"/>
      <c r="H75" s="89"/>
      <c r="I75" s="32"/>
      <c r="J75" s="40"/>
      <c r="K75" s="33"/>
      <c r="L75" s="67"/>
      <c r="M75" s="35" t="str">
        <f t="shared" si="1"/>
        <v/>
      </c>
    </row>
    <row r="76" spans="1:13" x14ac:dyDescent="0.25">
      <c r="A76" s="25"/>
      <c r="B76" s="26"/>
      <c r="C76" s="88"/>
      <c r="D76" s="28"/>
      <c r="E76" s="29"/>
      <c r="F76" s="30"/>
      <c r="G76" s="30"/>
      <c r="H76" s="31"/>
      <c r="I76" s="70"/>
      <c r="J76" s="40"/>
      <c r="K76" s="33"/>
      <c r="L76" s="67"/>
      <c r="M76" s="35" t="str">
        <f t="shared" si="1"/>
        <v/>
      </c>
    </row>
    <row r="77" spans="1:13" x14ac:dyDescent="0.25">
      <c r="A77" s="25"/>
      <c r="B77" s="26"/>
      <c r="C77" s="88"/>
      <c r="D77" s="28"/>
      <c r="E77" s="29"/>
      <c r="F77" s="30"/>
      <c r="G77" s="30"/>
      <c r="H77" s="31"/>
      <c r="I77" s="70"/>
      <c r="J77" s="40"/>
      <c r="K77" s="33"/>
      <c r="L77" s="67"/>
      <c r="M77" s="35" t="str">
        <f t="shared" si="1"/>
        <v/>
      </c>
    </row>
    <row r="78" spans="1:13" x14ac:dyDescent="0.25">
      <c r="A78" s="25"/>
      <c r="B78" s="26"/>
      <c r="C78" s="88"/>
      <c r="D78" s="28"/>
      <c r="E78" s="29"/>
      <c r="F78" s="30"/>
      <c r="G78" s="30"/>
      <c r="H78" s="31"/>
      <c r="I78" s="70"/>
      <c r="J78" s="40"/>
      <c r="K78" s="33"/>
      <c r="L78" s="67"/>
      <c r="M78" s="35" t="str">
        <f t="shared" si="1"/>
        <v/>
      </c>
    </row>
    <row r="79" spans="1:13" x14ac:dyDescent="0.25">
      <c r="A79" s="25"/>
      <c r="B79" s="26"/>
      <c r="C79" s="88"/>
      <c r="D79" s="28"/>
      <c r="E79" s="29"/>
      <c r="F79" s="30"/>
      <c r="G79" s="30"/>
      <c r="H79" s="31"/>
      <c r="I79" s="70"/>
      <c r="J79" s="40"/>
      <c r="K79" s="33"/>
      <c r="L79" s="67"/>
      <c r="M79" s="35" t="str">
        <f t="shared" si="1"/>
        <v/>
      </c>
    </row>
    <row r="80" spans="1:13" x14ac:dyDescent="0.25">
      <c r="A80" s="25"/>
      <c r="B80" s="26"/>
      <c r="C80" s="88"/>
      <c r="D80" s="28"/>
      <c r="E80" s="29"/>
      <c r="F80" s="30"/>
      <c r="G80" s="30"/>
      <c r="H80" s="31"/>
      <c r="I80" s="32"/>
      <c r="J80" s="40"/>
      <c r="K80" s="33"/>
      <c r="L80" s="67"/>
      <c r="M80" s="35" t="str">
        <f t="shared" si="1"/>
        <v/>
      </c>
    </row>
    <row r="81" spans="1:13" x14ac:dyDescent="0.25">
      <c r="A81" s="90"/>
      <c r="B81" s="48"/>
      <c r="C81" s="88"/>
      <c r="D81" s="28"/>
      <c r="E81" s="29"/>
      <c r="F81" s="30"/>
      <c r="G81" s="30"/>
      <c r="H81" s="87"/>
      <c r="I81" s="70"/>
      <c r="J81" s="40"/>
      <c r="K81" s="33"/>
      <c r="L81" s="67"/>
      <c r="M81" s="35" t="str">
        <f t="shared" si="1"/>
        <v/>
      </c>
    </row>
    <row r="82" spans="1:13" x14ac:dyDescent="0.25">
      <c r="A82" s="90"/>
      <c r="B82" s="48"/>
      <c r="C82" s="88"/>
      <c r="D82" s="28"/>
      <c r="E82" s="29"/>
      <c r="F82" s="30"/>
      <c r="G82" s="30"/>
      <c r="H82" s="87"/>
      <c r="I82" s="70"/>
      <c r="J82" s="40"/>
      <c r="K82" s="33"/>
      <c r="L82" s="67"/>
      <c r="M82" s="35" t="str">
        <f t="shared" si="1"/>
        <v/>
      </c>
    </row>
    <row r="83" spans="1:13" x14ac:dyDescent="0.25">
      <c r="A83" s="90"/>
      <c r="B83" s="48"/>
      <c r="C83" s="88"/>
      <c r="D83" s="28"/>
      <c r="E83" s="29"/>
      <c r="F83" s="30"/>
      <c r="G83" s="30"/>
      <c r="H83" s="87"/>
      <c r="I83" s="70"/>
      <c r="J83" s="40"/>
      <c r="K83" s="33"/>
      <c r="L83" s="67"/>
      <c r="M83" s="35" t="str">
        <f t="shared" si="1"/>
        <v/>
      </c>
    </row>
    <row r="84" spans="1:13" x14ac:dyDescent="0.25">
      <c r="A84" s="90"/>
      <c r="B84" s="48"/>
      <c r="C84" s="88"/>
      <c r="D84" s="28"/>
      <c r="E84" s="29"/>
      <c r="F84" s="30"/>
      <c r="G84" s="30"/>
      <c r="H84" s="87"/>
      <c r="I84" s="70"/>
      <c r="J84" s="40"/>
      <c r="K84" s="33"/>
      <c r="L84" s="67"/>
      <c r="M84" s="35" t="str">
        <f t="shared" si="1"/>
        <v/>
      </c>
    </row>
    <row r="85" spans="1:13" x14ac:dyDescent="0.25">
      <c r="A85" s="25"/>
      <c r="B85" s="26"/>
      <c r="C85" s="88"/>
      <c r="D85" s="28"/>
      <c r="E85" s="29"/>
      <c r="F85" s="30"/>
      <c r="G85" s="30"/>
      <c r="H85" s="31"/>
      <c r="I85" s="32"/>
      <c r="J85" s="40"/>
      <c r="K85" s="33"/>
      <c r="L85" s="67"/>
      <c r="M85" s="35" t="str">
        <f t="shared" si="1"/>
        <v/>
      </c>
    </row>
    <row r="86" spans="1:13" x14ac:dyDescent="0.25">
      <c r="A86" s="25"/>
      <c r="B86" s="26"/>
      <c r="C86" s="88"/>
      <c r="D86" s="28"/>
      <c r="E86" s="29"/>
      <c r="F86" s="30"/>
      <c r="G86" s="30"/>
      <c r="H86" s="31"/>
      <c r="I86" s="32"/>
      <c r="J86" s="40"/>
      <c r="K86" s="33"/>
      <c r="L86" s="67"/>
      <c r="M86" s="35" t="str">
        <f t="shared" si="1"/>
        <v/>
      </c>
    </row>
    <row r="87" spans="1:13" x14ac:dyDescent="0.25">
      <c r="A87" s="41"/>
      <c r="B87" s="26"/>
      <c r="C87" s="88"/>
      <c r="D87" s="28"/>
      <c r="E87" s="29"/>
      <c r="F87" s="30"/>
      <c r="G87" s="30"/>
      <c r="H87" s="89"/>
      <c r="I87" s="32"/>
      <c r="J87" s="40"/>
      <c r="K87" s="33"/>
      <c r="L87" s="67"/>
      <c r="M87" s="35" t="str">
        <f t="shared" si="1"/>
        <v/>
      </c>
    </row>
    <row r="88" spans="1:13" x14ac:dyDescent="0.25">
      <c r="A88" s="25"/>
      <c r="B88" s="26"/>
      <c r="C88" s="88"/>
      <c r="D88" s="28"/>
      <c r="E88" s="29"/>
      <c r="F88" s="30"/>
      <c r="G88" s="30"/>
      <c r="H88" s="31"/>
      <c r="I88" s="32"/>
      <c r="J88" s="40"/>
      <c r="K88" s="33"/>
      <c r="L88" s="67"/>
      <c r="M88" s="35" t="str">
        <f t="shared" si="1"/>
        <v/>
      </c>
    </row>
    <row r="89" spans="1:13" x14ac:dyDescent="0.25">
      <c r="A89" s="85"/>
      <c r="B89" s="48"/>
      <c r="C89" s="88"/>
      <c r="D89" s="28"/>
      <c r="E89" s="29"/>
      <c r="F89" s="30"/>
      <c r="G89" s="30"/>
      <c r="H89" s="87"/>
      <c r="I89" s="70"/>
      <c r="J89" s="40"/>
      <c r="K89" s="33"/>
      <c r="L89" s="67"/>
      <c r="M89" s="35" t="str">
        <f t="shared" si="1"/>
        <v/>
      </c>
    </row>
    <row r="90" spans="1:13" x14ac:dyDescent="0.25">
      <c r="A90" s="25"/>
      <c r="B90" s="26"/>
      <c r="C90" s="88"/>
      <c r="D90" s="28"/>
      <c r="E90" s="29"/>
      <c r="F90" s="30"/>
      <c r="G90" s="30"/>
      <c r="H90" s="31"/>
      <c r="I90" s="32"/>
      <c r="J90" s="40"/>
      <c r="K90" s="33"/>
      <c r="L90" s="67"/>
      <c r="M90" s="35" t="str">
        <f t="shared" si="1"/>
        <v/>
      </c>
    </row>
    <row r="91" spans="1:13" x14ac:dyDescent="0.25">
      <c r="A91" s="25"/>
      <c r="B91" s="26"/>
      <c r="C91" s="88"/>
      <c r="D91" s="28"/>
      <c r="E91" s="29"/>
      <c r="F91" s="30"/>
      <c r="G91" s="30"/>
      <c r="H91" s="31"/>
      <c r="I91" s="32"/>
      <c r="J91" s="40"/>
      <c r="K91" s="33"/>
      <c r="L91" s="67"/>
      <c r="M91" s="35" t="str">
        <f t="shared" si="1"/>
        <v/>
      </c>
    </row>
    <row r="92" spans="1:13" x14ac:dyDescent="0.25">
      <c r="A92" s="25"/>
      <c r="B92" s="26"/>
      <c r="C92" s="88"/>
      <c r="D92" s="28"/>
      <c r="E92" s="29"/>
      <c r="F92" s="30"/>
      <c r="G92" s="30"/>
      <c r="H92" s="31"/>
      <c r="I92" s="32"/>
      <c r="J92" s="40"/>
      <c r="K92" s="33"/>
      <c r="L92" s="67"/>
      <c r="M92" s="35" t="str">
        <f t="shared" si="1"/>
        <v/>
      </c>
    </row>
    <row r="93" spans="1:13" x14ac:dyDescent="0.25">
      <c r="A93" s="85"/>
      <c r="B93" s="86"/>
      <c r="C93" s="88"/>
      <c r="D93" s="28"/>
      <c r="E93" s="29"/>
      <c r="F93" s="30"/>
      <c r="G93" s="30"/>
      <c r="H93" s="87"/>
      <c r="I93" s="70"/>
      <c r="J93" s="40"/>
      <c r="K93" s="33"/>
      <c r="L93" s="67"/>
      <c r="M93" s="35" t="str">
        <f t="shared" si="1"/>
        <v/>
      </c>
    </row>
    <row r="94" spans="1:13" x14ac:dyDescent="0.25">
      <c r="A94" s="90"/>
      <c r="B94" s="86"/>
      <c r="C94" s="88"/>
      <c r="D94" s="28"/>
      <c r="E94" s="29"/>
      <c r="F94" s="30"/>
      <c r="G94" s="30"/>
      <c r="H94" s="87"/>
      <c r="I94" s="70"/>
      <c r="J94" s="40"/>
      <c r="K94" s="33"/>
      <c r="L94" s="67"/>
      <c r="M94" s="35" t="str">
        <f t="shared" si="1"/>
        <v/>
      </c>
    </row>
    <row r="95" spans="1:13" x14ac:dyDescent="0.25">
      <c r="A95" s="25"/>
      <c r="B95" s="26"/>
      <c r="C95" s="88"/>
      <c r="D95" s="28"/>
      <c r="E95" s="29"/>
      <c r="F95" s="30"/>
      <c r="G95" s="30"/>
      <c r="H95" s="31"/>
      <c r="I95" s="32"/>
      <c r="J95" s="40"/>
      <c r="K95" s="33"/>
      <c r="L95" s="67"/>
      <c r="M95" s="35" t="str">
        <f t="shared" si="1"/>
        <v/>
      </c>
    </row>
    <row r="96" spans="1:13" x14ac:dyDescent="0.25">
      <c r="A96" s="85"/>
      <c r="B96" s="48"/>
      <c r="C96" s="88"/>
      <c r="D96" s="28"/>
      <c r="E96" s="29"/>
      <c r="F96" s="30"/>
      <c r="G96" s="30"/>
      <c r="H96" s="87"/>
      <c r="I96" s="70"/>
      <c r="J96" s="40"/>
      <c r="K96" s="33"/>
      <c r="L96" s="67"/>
      <c r="M96" s="35" t="str">
        <f t="shared" si="1"/>
        <v/>
      </c>
    </row>
    <row r="97" spans="1:13" x14ac:dyDescent="0.25">
      <c r="A97" s="85"/>
      <c r="B97" s="48"/>
      <c r="C97" s="88"/>
      <c r="D97" s="28"/>
      <c r="E97" s="29"/>
      <c r="F97" s="30"/>
      <c r="G97" s="30"/>
      <c r="H97" s="87"/>
      <c r="I97" s="70"/>
      <c r="J97" s="40"/>
      <c r="K97" s="33"/>
      <c r="L97" s="67"/>
      <c r="M97" s="35" t="str">
        <f t="shared" si="1"/>
        <v/>
      </c>
    </row>
    <row r="98" spans="1:13" x14ac:dyDescent="0.25">
      <c r="A98" s="25"/>
      <c r="B98" s="26"/>
      <c r="C98" s="88"/>
      <c r="D98" s="28"/>
      <c r="E98" s="29"/>
      <c r="F98" s="30"/>
      <c r="G98" s="30"/>
      <c r="H98" s="31"/>
      <c r="I98" s="32"/>
      <c r="J98" s="40"/>
      <c r="K98" s="33"/>
      <c r="L98" s="67"/>
      <c r="M98" s="35" t="str">
        <f t="shared" si="1"/>
        <v/>
      </c>
    </row>
    <row r="99" spans="1:13" x14ac:dyDescent="0.25">
      <c r="A99" s="25"/>
      <c r="B99" s="26"/>
      <c r="C99" s="88"/>
      <c r="D99" s="28"/>
      <c r="E99" s="29"/>
      <c r="F99" s="30"/>
      <c r="G99" s="30"/>
      <c r="H99" s="31"/>
      <c r="I99" s="32"/>
      <c r="J99" s="40"/>
      <c r="K99" s="33"/>
      <c r="L99" s="67"/>
      <c r="M99" s="35" t="str">
        <f t="shared" si="1"/>
        <v/>
      </c>
    </row>
    <row r="100" spans="1:13" x14ac:dyDescent="0.25">
      <c r="A100" s="25"/>
      <c r="B100" s="26"/>
      <c r="C100" s="88"/>
      <c r="D100" s="28"/>
      <c r="E100" s="29"/>
      <c r="F100" s="30"/>
      <c r="G100" s="30"/>
      <c r="H100" s="31"/>
      <c r="I100" s="32"/>
      <c r="J100" s="40"/>
      <c r="K100" s="33"/>
      <c r="L100" s="67"/>
      <c r="M100" s="35" t="str">
        <f t="shared" si="1"/>
        <v/>
      </c>
    </row>
    <row r="101" spans="1:13" x14ac:dyDescent="0.25">
      <c r="A101" s="41"/>
      <c r="B101" s="26"/>
      <c r="C101" s="88"/>
      <c r="D101" s="28"/>
      <c r="E101" s="29"/>
      <c r="F101" s="30"/>
      <c r="G101" s="30"/>
      <c r="H101" s="31"/>
      <c r="I101" s="32"/>
      <c r="J101" s="40"/>
      <c r="K101" s="33"/>
      <c r="L101" s="67"/>
      <c r="M101" s="35" t="str">
        <f t="shared" si="1"/>
        <v/>
      </c>
    </row>
    <row r="102" spans="1:13" x14ac:dyDescent="0.25">
      <c r="A102" s="85"/>
      <c r="B102" s="86"/>
      <c r="C102" s="88"/>
      <c r="D102" s="28"/>
      <c r="E102" s="29"/>
      <c r="F102" s="30"/>
      <c r="G102" s="30"/>
      <c r="H102" s="87"/>
      <c r="I102" s="70"/>
      <c r="J102" s="40"/>
      <c r="K102" s="33"/>
      <c r="L102" s="67"/>
      <c r="M102" s="35" t="str">
        <f t="shared" si="1"/>
        <v/>
      </c>
    </row>
    <row r="103" spans="1:13" x14ac:dyDescent="0.25">
      <c r="A103" s="41"/>
      <c r="B103" s="26"/>
      <c r="C103" s="88"/>
      <c r="D103" s="28"/>
      <c r="E103" s="29"/>
      <c r="F103" s="30"/>
      <c r="G103" s="30"/>
      <c r="H103" s="89"/>
      <c r="I103" s="32"/>
      <c r="J103" s="40"/>
      <c r="K103" s="33"/>
      <c r="L103" s="67"/>
      <c r="M103" s="35" t="str">
        <f t="shared" si="1"/>
        <v/>
      </c>
    </row>
    <row r="104" spans="1:13" ht="27.75" customHeight="1" thickBot="1" x14ac:dyDescent="0.3">
      <c r="A104" s="91"/>
      <c r="B104" s="92"/>
      <c r="C104" s="93"/>
      <c r="D104" s="28"/>
      <c r="E104" s="29"/>
      <c r="F104" s="94"/>
      <c r="G104" s="94"/>
      <c r="H104" s="95">
        <f>SUBTOTAL(9,H4:H103)</f>
        <v>0</v>
      </c>
      <c r="I104" s="96">
        <f>SUBTOTAL(9,I4:I103)</f>
        <v>0</v>
      </c>
      <c r="J104" s="97"/>
      <c r="K104" s="98">
        <f>SUBTOTAL(9,K4:K103)</f>
        <v>1994468</v>
      </c>
      <c r="L104" s="98">
        <f>SUBTOTAL(9,L4:L103)</f>
        <v>1405578</v>
      </c>
      <c r="M104" s="99">
        <f>K104-L104</f>
        <v>588890</v>
      </c>
    </row>
    <row r="105" spans="1:13" ht="25.2" thickTop="1" x14ac:dyDescent="0.3"/>
    <row r="109" spans="1:13" x14ac:dyDescent="0.3">
      <c r="I109" s="108"/>
    </row>
  </sheetData>
  <autoFilter ref="A3:M103" xr:uid="{00000000-0001-0000-0500-000000000000}"/>
  <hyperlinks>
    <hyperlink ref="C16" r:id="rId1" xr:uid="{70931D88-9892-408B-8BED-D6533053F328}"/>
    <hyperlink ref="C14" r:id="rId2" xr:uid="{DA466C22-3611-4E05-811F-22BD3341261D}"/>
    <hyperlink ref="C15" r:id="rId3" xr:uid="{34CB4114-2C96-43AA-B8ED-1F8FA08A5649}"/>
    <hyperlink ref="C17" r:id="rId4" xr:uid="{716E2017-4976-4CCC-B1D8-4F66997F8EDF}"/>
    <hyperlink ref="C12" r:id="rId5" xr:uid="{C3C3BE50-18FE-4C0A-AD88-3E77342249BA}"/>
    <hyperlink ref="C19" r:id="rId6" display="PV 8814" xr:uid="{819ACB4A-DC15-4426-B2CC-401F3E60A235}"/>
    <hyperlink ref="C4" r:id="rId7" display="PV 8814" xr:uid="{A0593FE6-3658-4870-8AFC-1C86B9D89F9C}"/>
    <hyperlink ref="C20" r:id="rId8" display="PV 8814" xr:uid="{45CC5394-DC8A-4FD1-B9AF-F683628862D0}"/>
    <hyperlink ref="C23" r:id="rId9" xr:uid="{70AF8CB6-2CB3-4F25-9DD8-C3D640EA87E0}"/>
    <hyperlink ref="C24" r:id="rId10" xr:uid="{F04B0C0E-02C3-4BFF-BBDC-121FDBE6499D}"/>
    <hyperlink ref="C26" r:id="rId11" xr:uid="{4316FF93-7E08-4E91-A60B-AA9EC6CB9638}"/>
    <hyperlink ref="C25" r:id="rId12" xr:uid="{1CB5B790-17A2-43C2-B135-70F1486E577A}"/>
    <hyperlink ref="C27" r:id="rId13" xr:uid="{08FF74E1-2944-4415-A4F2-7E96F5DB4EE9}"/>
    <hyperlink ref="C28" r:id="rId14" xr:uid="{EB15AB70-52BB-48D4-8CB8-DCB32D9098A3}"/>
    <hyperlink ref="C29" r:id="rId15" xr:uid="{2487A18F-35E6-4271-9BB5-5AB150CDB553}"/>
    <hyperlink ref="C30" r:id="rId16" xr:uid="{A0ED31AB-6396-44FD-A9B2-C844DA9E177E}"/>
    <hyperlink ref="C31" r:id="rId17" xr:uid="{C426C52E-0CF4-44A9-A1D9-0E3DFF0F17F2}"/>
    <hyperlink ref="C32" r:id="rId18" xr:uid="{7A9B87CA-18D8-4AD2-B6AF-3BCA33042D30}"/>
    <hyperlink ref="C33" r:id="rId19" xr:uid="{3F1BAB6E-C604-4BC1-ACF7-6080A592AD53}"/>
    <hyperlink ref="C35" r:id="rId20" xr:uid="{F7CD0902-A23D-479A-BCCB-D18169321481}"/>
    <hyperlink ref="C34" r:id="rId21" xr:uid="{42BFC232-2632-4F8F-95D7-65EB41CF7BE5}"/>
    <hyperlink ref="C36" r:id="rId22" xr:uid="{2568DADC-4D34-44C5-B595-315C5AA93BD8}"/>
    <hyperlink ref="C37" r:id="rId23" xr:uid="{435201C7-4140-44E2-999A-29A792206576}"/>
    <hyperlink ref="C38" r:id="rId24" xr:uid="{3B0E828B-7C22-4C5A-8C6D-615A2A40DD66}"/>
    <hyperlink ref="C39" r:id="rId25" xr:uid="{8FAAF51F-897F-4E31-B57A-784CC9AFB4FA}"/>
    <hyperlink ref="C40" r:id="rId26" xr:uid="{A5891656-1BD1-4CF8-8767-B8AADD17BC34}"/>
    <hyperlink ref="C41" r:id="rId27" xr:uid="{810BD399-3B59-46C7-8E11-963ABBBF0566}"/>
    <hyperlink ref="C42" r:id="rId28" xr:uid="{9A44B98E-8F1B-4BA7-9419-EF6DACE19B00}"/>
    <hyperlink ref="C43" r:id="rId29" xr:uid="{3131A7B9-9338-426A-9171-80CC2427C3B3}"/>
    <hyperlink ref="C21" r:id="rId30" xr:uid="{B3DA2E79-2F7E-4E70-B078-8592804B7467}"/>
    <hyperlink ref="C22" r:id="rId31" display="ملفات الموردين\عوض عيد\دفعات المورد\توريدات اسمنت وطوب وحديد مبني المبيعات مشروع نسيم 69,650 pv 4013 .pdf" xr:uid="{A35E04BF-E635-4B9B-9FC8-B8760DFE175B}"/>
    <hyperlink ref="C44" r:id="rId32" display="ملفات الموردين\عوض عيد\مشروع سعودي\مستخلص توريدات مشروع سعودي عوض عيد 56 .jpg" xr:uid="{72F50737-B6F9-40CF-9D32-4D4AD0EDCEAF}"/>
    <hyperlink ref="C45" r:id="rId33" display="ملفات الموردين\عوض عيد\دفعات المورد\PV 10094 عوض عيد .jpg" xr:uid="{29AEB1F2-FD94-46BB-8D11-0F752DF1820B}"/>
    <hyperlink ref="C46" r:id="rId34" display="ملفات الموردين\عوض عيد\مشروع سعودي\مستخلص توريدات مشروع سعودي عوض عيد 60.jpg" xr:uid="{3221F217-98C6-46F8-8655-6926033CE9A1}"/>
    <hyperlink ref="C47" r:id="rId35" display="ملفات الموردين\عوض عيد\دفعات المورد\PV 10138 عوض عيد .jpg" xr:uid="{72B68119-9B86-49F8-8AE3-4FFC1AA86093}"/>
    <hyperlink ref="C48" r:id="rId36" display="ملفات الموردين\عوض عيد\مشروع سعودي\مستخلص توريدات مشروع سعودي عوض عيد 65 .jpg" xr:uid="{EB2E30E7-668A-49FE-A590-ECB9312E1B07}"/>
    <hyperlink ref="C49" r:id="rId37" display="ملفات الموردين\عوض عيد\مشروع سعودي\مستخلص توريدات مشروع سعودي عوض عيد 66 .jpg" xr:uid="{9FAA7587-1199-4D58-B3FF-4B1CA5CAD106}"/>
    <hyperlink ref="C50" r:id="rId38" display="ملفات الموردين\عوض عيد\دفعات المورد\PV 10208 عوض عيد .jpg" xr:uid="{E5A93E29-C166-433D-BF6C-E904B10ABEF0}"/>
    <hyperlink ref="C51" r:id="rId39" display="ملفات الموردين\عوض عيد\دفعات المورد\PV 10208 عوض عيد .jpg" xr:uid="{DD1DA152-BDB4-4B3A-8DF6-C0E08955B286}"/>
    <hyperlink ref="C52" r:id="rId40" display="ملفات الموردين\عوض عيد\مشروع توباظ\مستخلص توريدات مشروع توباظ عوض عيد 70 .jpg" xr:uid="{B66E1CE8-7B44-402A-BDF4-900A7A943F28}"/>
    <hyperlink ref="C53" r:id="rId41" display="ملفات الموردين\عوض عيد\دفعات المورد\pv 10304 عوض عيد .jpg" xr:uid="{17D6743E-5298-4B64-A61E-90392BBA3012}"/>
    <hyperlink ref="C54" r:id="rId42" display="ملفات الموردين\عوض عيد\مشروع سعودي\مستخلص توريدات مشروع سعودي عوض عيد 69 .jpg" xr:uid="{72F10B19-EC42-43DE-B07C-D7903EBA0EEE}"/>
    <hyperlink ref="C55" r:id="rId43" display="ملفات الموردين\عوض عيد\دفعات المورد\pv 10304 عوض عيد .jpg" xr:uid="{4EC51412-969C-4ADB-84AA-E98449850ABA}"/>
    <hyperlink ref="C56" r:id="rId44" display="ملفات الموردين\عوض عيد\مشروع سعودي\مستخلص توريدات اسمنت مشروع سعودي عوض عيد 82 .jpg" xr:uid="{96085B2D-2A96-4D61-A543-D3FEF4EEB68C}"/>
    <hyperlink ref="C57" r:id="rId45" display="ملفات الموردين\عوض عيد\دفعات المورد\PV 10421 عوض عيد .jpg" xr:uid="{37D2F4C4-AC3F-482A-88FB-A854F85C082D}"/>
    <hyperlink ref="C58" r:id="rId46" display="ملفات الموردين\عوض عيد\مشروع سعودي\مستخلص توريدات اسمنت مشروع سعودي الحاج عوض عيد 83 .jpg" xr:uid="{08B9B6FE-36AC-4D03-9E12-43B0594F1766}"/>
    <hyperlink ref="C59" r:id="rId47" display="ملفات الموردين\عوض عيد\دفعات المورد\PV 10466 عوض عيد .jpg" xr:uid="{BDA43521-4554-427B-8C12-3872CDF3E2BD}"/>
    <hyperlink ref="C61" r:id="rId48" display="ملفات الموردين\عوض عيد\دفعات المورد\pv 10723 عوض عيد .jpg" xr:uid="{50463CCD-16FC-4AD8-B95E-B353E7790CA5}"/>
    <hyperlink ref="C60" r:id="rId49" display="ملفات الموردين\عوض عيد\مشروع سعودي\مستخلص توريدات مشروع سعودي عوض عيد 104 .jpg" xr:uid="{B0545C51-E623-44A1-A8DD-1BBF919205FA}"/>
    <hyperlink ref="C62" r:id="rId50" display="ملفات الموردين\عوض عيد\مشروع نسيم\مستخلص توريدات عدد 56 الف طوبه 3,300ج مشروع نسيم عوض عيد 116 .jpg" xr:uid="{8D6BA73D-4CAF-414B-85B8-73CA50BE2753}"/>
  </hyperlinks>
  <printOptions horizontalCentered="1"/>
  <pageMargins left="0" right="0" top="0" bottom="0" header="0.3" footer="0.3"/>
  <pageSetup paperSize="9" scale="38" fitToHeight="2" orientation="landscape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</dc:creator>
  <cp:lastModifiedBy>asd</cp:lastModifiedBy>
  <dcterms:created xsi:type="dcterms:W3CDTF">2026-07-19T12:49:32Z</dcterms:created>
  <dcterms:modified xsi:type="dcterms:W3CDTF">2026-07-19T12:49:59Z</dcterms:modified>
</cp:coreProperties>
</file>