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72tz_c-QNJvaEcGA8lOtpHQYMBrcCj7M\Accounting$\المشاريع الاستثمارية مع الغير\"/>
    </mc:Choice>
  </mc:AlternateContent>
  <xr:revisionPtr revIDLastSave="0" documentId="8_{72DB8697-3F9B-45EA-B937-496D2C66064C}" xr6:coauthVersionLast="47" xr6:coauthVersionMax="47" xr10:uidLastSave="{00000000-0000-0000-0000-000000000000}"/>
  <bookViews>
    <workbookView xWindow="-120" yWindow="-120" windowWidth="20730" windowHeight="11310" xr2:uid="{49D89FD2-0828-4EDD-A309-C8AC66D3F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3" i="1"/>
  <c r="E34" i="1"/>
  <c r="E31" i="1"/>
  <c r="E35" i="1" l="1"/>
  <c r="F27" i="1"/>
  <c r="G2" i="1" l="1"/>
  <c r="G4" i="1" s="1"/>
</calcChain>
</file>

<file path=xl/sharedStrings.xml><?xml version="1.0" encoding="utf-8"?>
<sst xmlns="http://schemas.openxmlformats.org/spreadsheetml/2006/main" count="67" uniqueCount="51">
  <si>
    <t>Sawa project</t>
  </si>
  <si>
    <t>Project</t>
  </si>
  <si>
    <t>Partners</t>
  </si>
  <si>
    <t>%</t>
  </si>
  <si>
    <t>Yaser Saudi</t>
  </si>
  <si>
    <t>Golden</t>
  </si>
  <si>
    <t>Wael Capital</t>
  </si>
  <si>
    <t>المشروع امتار</t>
  </si>
  <si>
    <t>نصيب سعودى 40%</t>
  </si>
  <si>
    <t>مباع سابقا</t>
  </si>
  <si>
    <t>المتبقى سعودى امتار</t>
  </si>
  <si>
    <t>Naseem</t>
  </si>
  <si>
    <t>Laddress</t>
  </si>
  <si>
    <t>Emad Saloum</t>
  </si>
  <si>
    <t>Kotb Mokhtar</t>
  </si>
  <si>
    <t>لادريس أكتوبر</t>
  </si>
  <si>
    <t>لاريس التجمع</t>
  </si>
  <si>
    <t>مزرعة السنية</t>
  </si>
  <si>
    <t>اسم الشريك</t>
  </si>
  <si>
    <t>عدد السهم</t>
  </si>
  <si>
    <t>النسبة %</t>
  </si>
  <si>
    <t>نصيب الشريك بالمتر المربع</t>
  </si>
  <si>
    <t>جولدن لاند</t>
  </si>
  <si>
    <t>علاء خاطر</t>
  </si>
  <si>
    <t>اشرف كمال</t>
  </si>
  <si>
    <t>محمد الصاوى</t>
  </si>
  <si>
    <t>محمد القاضي</t>
  </si>
  <si>
    <t>رمضان عبد الصمد</t>
  </si>
  <si>
    <t>تهامى سليمان</t>
  </si>
  <si>
    <t>المتحدة</t>
  </si>
  <si>
    <t>الشيخ عبد العزيز</t>
  </si>
  <si>
    <t>أبو زياد</t>
  </si>
  <si>
    <t>اختيار</t>
  </si>
  <si>
    <t>الاجمالى</t>
  </si>
  <si>
    <t>شارع 9 الثورة الخضراء</t>
  </si>
  <si>
    <t>Mohamed Elsawi</t>
  </si>
  <si>
    <t>10.5 فدان صحراوي</t>
  </si>
  <si>
    <t>ابوزياد</t>
  </si>
  <si>
    <t>جولدن</t>
  </si>
  <si>
    <t>عماد سلوم</t>
  </si>
  <si>
    <t>الشيخ عبدالعزيز</t>
  </si>
  <si>
    <t>المبلغ من ثمن الأرض</t>
  </si>
  <si>
    <t>قرية السدة</t>
  </si>
  <si>
    <t>المساحة بالفدان</t>
  </si>
  <si>
    <t>اسم المشروع</t>
  </si>
  <si>
    <t>نسبة المساهمة</t>
  </si>
  <si>
    <t>فدان 3 - الصحراوى</t>
  </si>
  <si>
    <t>محمد مختار</t>
  </si>
  <si>
    <t>احمد لطفى</t>
  </si>
  <si>
    <t>قطب مختار</t>
  </si>
  <si>
    <t xml:space="preserve"> فدان 2 - مول الصحراوى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</si>
</sst>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2" fillId="0" borderId="0" xfId="0" applyFont="1"/>
    <xf numFmtId="43" fontId="2" fillId="0" borderId="0" xfId="1" applyFont="1"/>
    <xf numFmtId="9" fontId="0" fillId="0" borderId="0" xfId="2" applyFont="1"/>
    <xf numFmtId="10" fontId="0" fillId="0" borderId="0" xfId="2" applyNumberFormat="1" applyFont="1"/>
    <xf numFmtId="166" fontId="2" fillId="0" borderId="0" xfId="1" applyNumberFormat="1" applyFont="1"/>
    <xf numFmtId="166" fontId="0" fillId="0" borderId="0" xfId="0" applyNumberFormat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BAD7-3377-4A39-9461-C29031C477EC}">
  <dimension ref="A1:G51"/>
  <sheetViews>
    <sheetView tabSelected="1" workbookViewId="0">
      <selection activeCell="C11" sqref="C11"/>
    </sheetView>
  </sheetViews>
  <sheetFormatPr defaultRowHeight="15" x14ac:dyDescent="0.25"/>
  <cols>
    <col min="1" max="1" width="17.7109375" bestFit="1" customWidth="1"/>
    <col min="2" max="2" width="20.85546875" bestFit="1" customWidth="1"/>
    <col min="3" max="4" width="30.140625" bestFit="1" customWidth="1"/>
    <col min="5" max="5" width="10.5703125" bestFit="1" customWidth="1"/>
    <col min="6" max="6" width="15.85546875" bestFit="1" customWidth="1"/>
    <col min="7" max="7" width="16" bestFit="1" customWidth="1"/>
  </cols>
  <sheetData>
    <row r="1" spans="1:7" x14ac:dyDescent="0.25">
      <c r="A1" t="s">
        <v>1</v>
      </c>
      <c r="B1" t="s">
        <v>2</v>
      </c>
      <c r="C1" t="s">
        <v>3</v>
      </c>
      <c r="F1" s="2" t="s">
        <v>7</v>
      </c>
      <c r="G1" s="3">
        <v>14442.35</v>
      </c>
    </row>
    <row r="2" spans="1:7" x14ac:dyDescent="0.25">
      <c r="A2" t="s">
        <v>0</v>
      </c>
      <c r="B2" t="s">
        <v>4</v>
      </c>
      <c r="C2" s="1">
        <v>0.4</v>
      </c>
      <c r="F2" s="2" t="s">
        <v>8</v>
      </c>
      <c r="G2" s="3">
        <f>G1*0.4</f>
        <v>5776.9400000000005</v>
      </c>
    </row>
    <row r="3" spans="1:7" x14ac:dyDescent="0.25">
      <c r="B3" t="s">
        <v>5</v>
      </c>
      <c r="C3" s="1">
        <v>0.36</v>
      </c>
      <c r="E3" s="1"/>
      <c r="F3" s="2" t="s">
        <v>9</v>
      </c>
      <c r="G3" s="3">
        <v>500</v>
      </c>
    </row>
    <row r="4" spans="1:7" x14ac:dyDescent="0.25">
      <c r="B4" t="s">
        <v>6</v>
      </c>
      <c r="C4" s="1">
        <v>0.24</v>
      </c>
      <c r="E4" s="1"/>
      <c r="F4" s="2" t="s">
        <v>10</v>
      </c>
      <c r="G4" s="3">
        <f>G2-G3</f>
        <v>5276.9400000000005</v>
      </c>
    </row>
    <row r="6" spans="1:7" x14ac:dyDescent="0.25">
      <c r="A6" t="s">
        <v>12</v>
      </c>
      <c r="B6" t="s">
        <v>13</v>
      </c>
      <c r="C6" s="1">
        <v>0.6</v>
      </c>
      <c r="F6" s="2" t="s">
        <v>15</v>
      </c>
    </row>
    <row r="7" spans="1:7" x14ac:dyDescent="0.25">
      <c r="B7" t="s">
        <v>14</v>
      </c>
      <c r="C7" s="1">
        <v>0.4</v>
      </c>
      <c r="F7" s="2" t="s">
        <v>16</v>
      </c>
    </row>
    <row r="8" spans="1:7" x14ac:dyDescent="0.25">
      <c r="F8" s="2" t="s">
        <v>17</v>
      </c>
    </row>
    <row r="10" spans="1:7" x14ac:dyDescent="0.25">
      <c r="A10" t="s">
        <v>11</v>
      </c>
      <c r="B10" t="s">
        <v>18</v>
      </c>
      <c r="D10" t="s">
        <v>19</v>
      </c>
      <c r="E10" t="s">
        <v>20</v>
      </c>
      <c r="F10" t="s">
        <v>21</v>
      </c>
    </row>
    <row r="11" spans="1:7" x14ac:dyDescent="0.25">
      <c r="B11" t="s">
        <v>22</v>
      </c>
      <c r="D11">
        <v>4</v>
      </c>
      <c r="E11" s="5">
        <v>0.16666666666666666</v>
      </c>
      <c r="F11" s="6">
        <v>5833</v>
      </c>
    </row>
    <row r="12" spans="1:7" x14ac:dyDescent="0.25">
      <c r="B12" t="s">
        <v>23</v>
      </c>
      <c r="D12">
        <v>2</v>
      </c>
      <c r="E12" s="5">
        <v>8.3333333333333329E-2</v>
      </c>
      <c r="F12" s="6">
        <v>2916.5</v>
      </c>
    </row>
    <row r="13" spans="1:7" x14ac:dyDescent="0.25">
      <c r="B13" t="s">
        <v>24</v>
      </c>
      <c r="D13">
        <v>1.5</v>
      </c>
      <c r="E13" s="5">
        <v>6.25E-2</v>
      </c>
      <c r="F13" s="6">
        <v>2187.375</v>
      </c>
    </row>
    <row r="14" spans="1:7" x14ac:dyDescent="0.25">
      <c r="B14" t="s">
        <v>25</v>
      </c>
      <c r="D14">
        <v>1.5</v>
      </c>
      <c r="E14" s="5">
        <v>6.25E-2</v>
      </c>
      <c r="F14" s="6">
        <v>2187.375</v>
      </c>
    </row>
    <row r="15" spans="1:7" x14ac:dyDescent="0.25">
      <c r="B15" t="s">
        <v>26</v>
      </c>
      <c r="D15">
        <v>1</v>
      </c>
      <c r="E15" s="5">
        <v>4.1666666666666664E-2</v>
      </c>
      <c r="F15" s="6">
        <v>1458.25</v>
      </c>
    </row>
    <row r="16" spans="1:7" x14ac:dyDescent="0.25">
      <c r="B16" t="s">
        <v>27</v>
      </c>
      <c r="D16">
        <v>1</v>
      </c>
      <c r="E16" s="5">
        <v>4.1666666666666664E-2</v>
      </c>
      <c r="F16" s="6">
        <v>1458.25</v>
      </c>
    </row>
    <row r="17" spans="1:7" x14ac:dyDescent="0.25">
      <c r="B17" t="s">
        <v>28</v>
      </c>
      <c r="D17">
        <v>0.5</v>
      </c>
      <c r="E17" s="5">
        <v>2.0833333333333332E-2</v>
      </c>
      <c r="F17" s="6">
        <v>729.125</v>
      </c>
    </row>
    <row r="18" spans="1:7" x14ac:dyDescent="0.25">
      <c r="B18" t="s">
        <v>29</v>
      </c>
      <c r="D18">
        <v>0.5</v>
      </c>
      <c r="E18" s="5">
        <v>2.0833333333333332E-2</v>
      </c>
      <c r="F18" s="6">
        <v>729.125</v>
      </c>
    </row>
    <row r="19" spans="1:7" x14ac:dyDescent="0.25">
      <c r="B19" t="s">
        <v>30</v>
      </c>
      <c r="E19" s="5">
        <v>0.16420938339333677</v>
      </c>
      <c r="F19" s="6">
        <v>5747</v>
      </c>
    </row>
    <row r="20" spans="1:7" x14ac:dyDescent="0.25">
      <c r="B20" t="s">
        <v>31</v>
      </c>
      <c r="E20" s="5">
        <v>0.16420938339333677</v>
      </c>
      <c r="F20" s="6">
        <v>5747</v>
      </c>
    </row>
    <row r="21" spans="1:7" x14ac:dyDescent="0.25">
      <c r="B21" t="s">
        <v>25</v>
      </c>
      <c r="E21" s="5">
        <v>1.4647408423338476E-2</v>
      </c>
      <c r="F21" s="6">
        <v>512.63</v>
      </c>
    </row>
    <row r="22" spans="1:7" x14ac:dyDescent="0.25">
      <c r="B22" t="s">
        <v>22</v>
      </c>
      <c r="E22" s="5">
        <v>3.6955540316589514E-2</v>
      </c>
      <c r="F22" s="6">
        <v>1293.3699999999999</v>
      </c>
    </row>
    <row r="23" spans="1:7" x14ac:dyDescent="0.25">
      <c r="B23" t="s">
        <v>32</v>
      </c>
      <c r="E23" s="5">
        <v>0.11997828447339848</v>
      </c>
      <c r="F23" s="6">
        <v>4199</v>
      </c>
    </row>
    <row r="24" spans="1:7" x14ac:dyDescent="0.25">
      <c r="B24" t="s">
        <v>33</v>
      </c>
      <c r="D24">
        <v>12</v>
      </c>
      <c r="E24" s="5">
        <v>1</v>
      </c>
      <c r="F24" s="6">
        <v>34998</v>
      </c>
    </row>
    <row r="25" spans="1:7" x14ac:dyDescent="0.25">
      <c r="F25" s="7"/>
    </row>
    <row r="26" spans="1:7" x14ac:dyDescent="0.25">
      <c r="F26" s="7"/>
    </row>
    <row r="27" spans="1:7" x14ac:dyDescent="0.25">
      <c r="A27" t="s">
        <v>34</v>
      </c>
      <c r="B27" t="s">
        <v>5</v>
      </c>
      <c r="F27" s="6">
        <f>8621-860</f>
        <v>7761</v>
      </c>
    </row>
    <row r="28" spans="1:7" x14ac:dyDescent="0.25">
      <c r="B28" t="s">
        <v>35</v>
      </c>
      <c r="F28" s="6">
        <v>860</v>
      </c>
    </row>
    <row r="29" spans="1:7" x14ac:dyDescent="0.25">
      <c r="F29" s="6"/>
    </row>
    <row r="30" spans="1:7" x14ac:dyDescent="0.25">
      <c r="F30" t="s">
        <v>43</v>
      </c>
      <c r="G30" t="s">
        <v>41</v>
      </c>
    </row>
    <row r="31" spans="1:7" x14ac:dyDescent="0.25">
      <c r="A31" t="s">
        <v>36</v>
      </c>
      <c r="B31" t="s">
        <v>37</v>
      </c>
      <c r="E31" s="4">
        <f>G31/$G$35</f>
        <v>0.33333333333333331</v>
      </c>
      <c r="F31" s="8">
        <v>3.5</v>
      </c>
      <c r="G31" s="6">
        <v>27333333.333333332</v>
      </c>
    </row>
    <row r="32" spans="1:7" x14ac:dyDescent="0.25">
      <c r="B32" t="s">
        <v>39</v>
      </c>
      <c r="E32" s="4">
        <f>G32/$G$35</f>
        <v>0.22222222222222224</v>
      </c>
      <c r="F32" s="8">
        <v>2.3333333333333335</v>
      </c>
      <c r="G32" s="6">
        <v>18222222.222222224</v>
      </c>
    </row>
    <row r="33" spans="1:7" x14ac:dyDescent="0.25">
      <c r="B33" t="s">
        <v>40</v>
      </c>
      <c r="E33" s="4">
        <f>G33/$G$35</f>
        <v>0.22222222222222224</v>
      </c>
      <c r="F33" s="8">
        <v>2.3333333333333335</v>
      </c>
      <c r="G33" s="6">
        <v>18222222.222222224</v>
      </c>
    </row>
    <row r="34" spans="1:7" x14ac:dyDescent="0.25">
      <c r="B34" t="s">
        <v>38</v>
      </c>
      <c r="E34" s="4">
        <f>G34/$G$35</f>
        <v>0.22222222222222224</v>
      </c>
      <c r="F34" s="8">
        <v>2.3333333333333335</v>
      </c>
      <c r="G34" s="6">
        <v>18222222.222222224</v>
      </c>
    </row>
    <row r="35" spans="1:7" x14ac:dyDescent="0.25">
      <c r="E35" s="4">
        <f>SUM(E31:E34)</f>
        <v>1</v>
      </c>
      <c r="F35">
        <v>10.500000000000002</v>
      </c>
      <c r="G35" s="6">
        <v>82000000</v>
      </c>
    </row>
    <row r="36" spans="1:7" x14ac:dyDescent="0.25">
      <c r="E36" s="4"/>
      <c r="F36" s="6"/>
    </row>
    <row r="37" spans="1:7" x14ac:dyDescent="0.25">
      <c r="A37" t="s">
        <v>42</v>
      </c>
      <c r="B37" t="s">
        <v>38</v>
      </c>
    </row>
    <row r="38" spans="1:7" x14ac:dyDescent="0.25">
      <c r="B38" t="s">
        <v>31</v>
      </c>
    </row>
    <row r="41" spans="1:7" x14ac:dyDescent="0.25">
      <c r="D41" t="s">
        <v>44</v>
      </c>
      <c r="E41" t="s">
        <v>18</v>
      </c>
      <c r="F41" t="s">
        <v>43</v>
      </c>
      <c r="G41" t="s">
        <v>45</v>
      </c>
    </row>
    <row r="42" spans="1:7" x14ac:dyDescent="0.25">
      <c r="D42" t="s">
        <v>46</v>
      </c>
      <c r="E42" t="s">
        <v>31</v>
      </c>
      <c r="F42">
        <v>1.5</v>
      </c>
      <c r="G42" s="8">
        <v>0.5</v>
      </c>
    </row>
    <row r="43" spans="1:7" x14ac:dyDescent="0.25">
      <c r="E43" t="s">
        <v>47</v>
      </c>
      <c r="F43">
        <v>0.5</v>
      </c>
      <c r="G43" s="8">
        <v>0.16666666666666666</v>
      </c>
    </row>
    <row r="44" spans="1:7" x14ac:dyDescent="0.25">
      <c r="E44" t="s">
        <v>48</v>
      </c>
      <c r="F44">
        <v>0.5</v>
      </c>
      <c r="G44" s="8">
        <v>0.16666666666666666</v>
      </c>
    </row>
    <row r="45" spans="1:7" x14ac:dyDescent="0.25">
      <c r="E45" t="s">
        <v>49</v>
      </c>
      <c r="F45">
        <v>0.5</v>
      </c>
      <c r="G45" s="8">
        <v>0.16666666666666666</v>
      </c>
    </row>
    <row r="46" spans="1:7" x14ac:dyDescent="0.25">
      <c r="E46" t="s">
        <v>33</v>
      </c>
      <c r="F46">
        <v>3</v>
      </c>
      <c r="G46">
        <v>0.99999999999999989</v>
      </c>
    </row>
    <row r="48" spans="1:7" x14ac:dyDescent="0.25">
      <c r="D48" t="s">
        <v>44</v>
      </c>
      <c r="E48" t="s">
        <v>18</v>
      </c>
      <c r="F48" t="s">
        <v>43</v>
      </c>
      <c r="G48" t="s">
        <v>45</v>
      </c>
    </row>
    <row r="49" spans="4:7" x14ac:dyDescent="0.25">
      <c r="D49" t="s">
        <v>50</v>
      </c>
      <c r="E49" t="s">
        <v>48</v>
      </c>
      <c r="F49">
        <v>1</v>
      </c>
      <c r="G49">
        <v>0.5</v>
      </c>
    </row>
    <row r="50" spans="4:7" x14ac:dyDescent="0.25">
      <c r="E50" t="s">
        <v>49</v>
      </c>
      <c r="F50">
        <v>1</v>
      </c>
      <c r="G50">
        <v>0.5</v>
      </c>
    </row>
    <row r="51" spans="4:7" x14ac:dyDescent="0.25">
      <c r="E51" t="s">
        <v>33</v>
      </c>
      <c r="F51">
        <v>2</v>
      </c>
      <c r="G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AGIBA</dc:creator>
  <cp:lastModifiedBy>AHMED AGIBA</cp:lastModifiedBy>
  <dcterms:created xsi:type="dcterms:W3CDTF">2026-10-10T10:36:05Z</dcterms:created>
  <dcterms:modified xsi:type="dcterms:W3CDTF">2026-10-10T11:19:36Z</dcterms:modified>
</cp:coreProperties>
</file>