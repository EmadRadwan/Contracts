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d\Downloads\"/>
    </mc:Choice>
  </mc:AlternateContent>
  <xr:revisionPtr revIDLastSave="0" documentId="13_ncr:1_{17526E3F-430A-4A16-8497-3E7DDCD63ED9}" xr6:coauthVersionLast="47" xr6:coauthVersionMax="47" xr10:uidLastSave="{00000000-0000-0000-0000-000000000000}"/>
  <bookViews>
    <workbookView xWindow="-108" yWindow="-108" windowWidth="23256" windowHeight="12576" xr2:uid="{00000000-000D-0000-FFFF-FFFF00000000}"/>
  </bookViews>
  <sheets>
    <sheet name="البنود" sheetId="1" r:id="rId1"/>
    <sheet name="مثال نسب الإنجاز" sheetId="2" r:id="rId2"/>
    <sheet name="ملخص" sheetId="3" r:id="rId3"/>
  </sheets>
  <definedNames>
    <definedName name="_xlnm._FilterDatabase" localSheetId="0" hidden="1">البنود!$A$1:$G$49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3" l="1"/>
  <c r="B11" i="3"/>
  <c r="C10" i="3"/>
  <c r="B10" i="3"/>
  <c r="C9" i="3"/>
  <c r="B9" i="3"/>
  <c r="C8" i="3"/>
  <c r="B8" i="3"/>
  <c r="C7" i="3"/>
  <c r="B7" i="3"/>
  <c r="C6" i="3"/>
  <c r="B6" i="3"/>
  <c r="C5" i="3"/>
  <c r="B5" i="3"/>
  <c r="C4" i="3"/>
  <c r="B4" i="3"/>
  <c r="D5" i="2"/>
  <c r="F4" i="2"/>
  <c r="D4" i="2"/>
  <c r="B12" i="3" l="1"/>
  <c r="C12" i="3"/>
</calcChain>
</file>

<file path=xl/sharedStrings.xml><?xml version="1.0" encoding="utf-8"?>
<sst xmlns="http://schemas.openxmlformats.org/spreadsheetml/2006/main" count="201" uniqueCount="110">
  <si>
    <t>م</t>
  </si>
  <si>
    <t>الصفحة</t>
  </si>
  <si>
    <t>القسم</t>
  </si>
  <si>
    <t>رقم البند في الأصل</t>
  </si>
  <si>
    <t>النص كما كُتب</t>
  </si>
  <si>
    <t>مصطلح إنجليزي في الأصل</t>
  </si>
  <si>
    <t>قراءة غير مؤكدة</t>
  </si>
  <si>
    <t>التقارير والنظام عمومًا</t>
  </si>
  <si>
    <t>—</t>
  </si>
  <si>
    <t>Custom Report</t>
  </si>
  <si>
    <t>Subtotal</t>
  </si>
  <si>
    <t>نعم</t>
  </si>
  <si>
    <t>★</t>
  </si>
  <si>
    <t>DMS — ربط ⟨السيستم⟩ بالمستندات المرفقة، مع كل رقم دفعة يتم الوصول إليها بضغط رقم الدفعة.</t>
  </si>
  <si>
    <t>DMS</t>
  </si>
  <si>
    <t>PDC Management</t>
  </si>
  <si>
    <t>إضافة شاشة للتحويلات بين الحسابات البنكية والخزينة، مثلًا من CIB إلى ADIB، أو من الخزينة إلى CIB.</t>
  </si>
  <si>
    <t>أنواع الدفعات محتاجة إعادة تعريف.</t>
  </si>
  <si>
    <t>العرض والطباعة والأتمتة</t>
  </si>
  <si>
    <t>1</t>
  </si>
  <si>
    <t>إجمالًا طريقة العرض والطباعة محتاجة تحديث لتظهر بصورة احترافية، وكشوفات الحساب ⟨محتاجة⟩ وجميع الأشكال المصدرة محتاجة إعادة فورمات وترتيب الأعمدة لتظهر بشكل ⟨…⟩ كشف حساب البنك، ليتم طباعتها مباشرة دون إجراء تعديلات في كل مرة.</t>
  </si>
  <si>
    <t>2</t>
  </si>
  <si>
    <t>أي معاملة يتم طباعة إيصال لها مباشرة من المعاملة دون الحاجة إلى تصدير إلى إكسل، زي سند الصرف.</t>
  </si>
  <si>
    <t>3</t>
  </si>
  <si>
    <t>التقارير Automation — تحدث تلقائيًا بدون تدخل. على سبيل المثال تقرير يومي يتم تصديره بالمدفوعات والمقبوضات المستحقة خلال فترة زمنية (اليوم / أسبوع / شهر / ربع سنوي).</t>
  </si>
  <si>
    <t>Automation</t>
  </si>
  <si>
    <t>سندات الصرف والقبض</t>
  </si>
  <si>
    <t>ملاحظة</t>
  </si>
  <si>
    <t>معالجة تطبيقات الدفع لتسمح بالدفع الجزئي، بحيث يظهر مبلغ المستحق للصرف والمبلغ المصروف فعليًا والمبلغ المتبقي.</t>
  </si>
  <si>
    <t>4</t>
  </si>
  <si>
    <t>5</t>
  </si>
  <si>
    <t>طريقة عرض الشاشات الرئيسية لكل سندات الصرف والقبض تحتاج إلى إعادة هيكلة لعرض جميع الأعمدة بدون التنقل يمينًا ويسارًا.</t>
  </si>
  <si>
    <t>6</t>
  </si>
  <si>
    <t>7-أ</t>
  </si>
  <si>
    <t>Daily Activity Report</t>
  </si>
  <si>
    <t>Approval Q</t>
  </si>
  <si>
    <t>Date range</t>
  </si>
  <si>
    <t>القيود اليومية</t>
  </si>
  <si>
    <t>تقرير يومي بكل القيود التي تم تحريرها من قبل الموظف.</t>
  </si>
  <si>
    <t>الصلاحيات في القيود تكون زي سندات الصرف والقبض.</t>
  </si>
  <si>
    <t>طريقة عرض الشاشة الرئيسية المفروض تبين رقم الدفعة / الفاتورة لأي قيد يتم إنشاؤه تلقائيًا.</t>
  </si>
  <si>
    <t>الرواتب والسلف</t>
  </si>
  <si>
    <t>إمكانية الترتيب والفلترة بالاسم أو القسم أو المبلغ، والبحث.</t>
  </si>
  <si>
    <t>إمكانية تعديل الفاتورة لموظف (لحدث تغيير في ⟨البيانات⟩ والقيود) بدلًا من حذف كل الموظفين وتحريرها مرة أخرى.</t>
  </si>
  <si>
    <t>4-1</t>
  </si>
  <si>
    <t>(بند فرعي تحت السلف) إمكانية وإضافة إعادة التعيين لتعديل أو زيادة بعد الاتفاق.</t>
  </si>
  <si>
    <t>4-2</t>
  </si>
  <si>
    <t>⟨السلف المقدمة⟩</t>
  </si>
  <si>
    <t>المبيعات</t>
  </si>
  <si>
    <t>WhatsApp</t>
  </si>
  <si>
    <t>الاحتفاظ بطلب المبيعات وإمكانية تغيير العميل أو تعديل الدفعات في حالة بيع الوحدة، أو زيادة مبلغ البيع في حالة زيادة المساحة مثل الروف بعد الحصول على ترخيص.</t>
  </si>
  <si>
    <t>5-أ</t>
  </si>
  <si>
    <t>Sales R</t>
  </si>
  <si>
    <t>7</t>
  </si>
  <si>
    <t>المستخلصات</t>
  </si>
  <si>
    <t>إضافة العقود مع كل مقاول أو مورد مع ربطها بالمشروع: قيمة التعاقد — المبالغ المدفوعة — المبالغ المتبقية.</t>
  </si>
  <si>
    <t>إضافة نسب الإنجاز التراكمية (انظر ورقة «مثال نسب الإنجاز»).</t>
  </si>
  <si>
    <t>ربط مستخلصات لكل مشروع (Bud vs. Actual) — يتم مطابقة جميع المصروفات بالمبلغ المستخدم.</t>
  </si>
  <si>
    <t>Bud vs. Actual</t>
  </si>
  <si>
    <t>ربط مستخلصات لكل مقاول أو مورد بقيمة عقد المقاولة مع المشروع.</t>
  </si>
  <si>
    <t>توسيع حقل الوصف داخل البنود (w/ text) لعرض الوصف بالكامل.</t>
  </si>
  <si>
    <t>w/ text</t>
  </si>
  <si>
    <t>عند تغيير وحدة القياس يتم ⟨تتبعها⟩ — ⟨مطلوب التتبع⟩.</t>
  </si>
  <si>
    <t>المثال المكتوب بخط اليد في الصفحة ٦ — بند ٢ (نسب الإنجاز التراكمية)</t>
  </si>
  <si>
    <t>المبلغ التعاقدي</t>
  </si>
  <si>
    <t>المقاول</t>
  </si>
  <si>
    <t>نسبة الإنجاز الحالية</t>
  </si>
  <si>
    <t>المبلغ المستحق</t>
  </si>
  <si>
    <t>المدفوع</t>
  </si>
  <si>
    <t>المتبقي</t>
  </si>
  <si>
    <t>×</t>
  </si>
  <si>
    <t>كما كتبها العميل تحت الجدول:</t>
  </si>
  <si>
    <t>نسبة الإنجاز ← الحالية / السابقة / إجمالي نسبة الإنجاز (٪١٠ / ٪٢٠ / ٪٣٠)</t>
  </si>
  <si>
    <t>المبالغ ← الحالية / المدفوع سابقًا / المتبقي</t>
  </si>
  <si>
    <t>الأرقام بالأزرق منقولة من خط اليد؛ المستحق والمتبقي معادلات (المبلغ × النسبة، المبلغ − المدفوع). الصف الثاني لم يُستكمل في الأصل.</t>
  </si>
  <si>
    <t>عدد البنود حسب القسم</t>
  </si>
  <si>
    <t>عدد البنود</t>
  </si>
  <si>
    <t>منها قراءات غير مؤكدة</t>
  </si>
  <si>
    <t>الإجمالي</t>
  </si>
  <si>
    <t>المصدر: 2nd phase ERP SYS updated.pdf (٦ صفحات بخط اليد، ٢٩ يوليو ٢٠٢٦) — منقول عبر 2nd-phase-ERP-SYS-transcription.md. القراءات غير المؤكدة مظللة بالأصفر في ورقة «البنود».</t>
  </si>
  <si>
    <t>إنشاء محرك خاص بالتقارير + Custom Report تفصيلي حسب الطلب يتم تفصيل المعلومات المطلوبة و ترتيب الاعمدة مع check box للاعمدة المطلوب طباعتها و ترتيب ظهورها مع Subtota مع إمكانية الطباعة اكسل و pdf . (يتم اعداد قائمة منفصلة بالتقارير المطلوبة)</t>
  </si>
  <si>
    <t>تقارير القسم محتاجة تظبيط ⟨تراكم⟩ الأعمال والقوائم المالية و المقارنة و الميزانية، مع وجود مستويات لعرض التقرير ((Subtotal)) مع التصديرو الطباعة اكسل و PDF شامل اجمالى و تحليلى التقرير مع هايبر لينك لكل رقم لمعرفة تفاصيله.</t>
  </si>
  <si>
    <t>إضافة أكثر من شركة (جولدن / لادريس / سوا/ القابضة).</t>
  </si>
  <si>
    <t>PDC Management — ملاحظة هامشية: ⟨شاشة خاصة بالشيكات: استحقاق / الدفع / مرتجع / مستبدل⟩.</t>
  </si>
  <si>
    <t>إظهار القيود اليومية مدين ودائن في شاشة الصرف والقبض قبل الإنشاء. مع اظهار دفتر الأستاذ المستخدم عند الطباعة و إضافة خيار حساب مالى عند استخدامه كطريقة الدفع مثل العهد و جارى الشريك</t>
  </si>
  <si>
    <t>مشاكل التقارير: يضاف زر للطباعة يتم توجيه طباعة التقرير بدون الحاجة إلى التعديلات في الفورمات وحجم الصفحة، زي سند الصرف والقبض. + طباعة ايصالات الصرف و القبض بطريقة احترافية مثل النموذج المرسل اليك</t>
  </si>
  <si>
    <t>ملاحظة في رأس الصفحة: ⟨إضافة خيار شيك مستبدل مع الاحتفاظ بالمعاملة — مع إضافة حالة مستبدل إلى مدفوع أو غير مدفوع⟩.</t>
  </si>
  <si>
    <t xml:space="preserve">سندات قبض دفعات المبيعات تتغير الى مبلغ القسط / المبلغ المدفوع / المبلغ المتبقى - الزيادة (عند دفع مبلغ زيادة يتم دفعه من القسط التالى) + (طريقة معالجة دفع المبلغ المتبقى عند دفعه) </t>
  </si>
  <si>
    <t>عمل شاشات لتعديل أو حذف مركز التكلفة مع انشاء شجرة بمستويات لمركز التكلفة.</t>
  </si>
  <si>
    <t>الفلاتر في الشاشة الرئيسية تحتاج المراجعة لإضافة Date range وإمكانية استخدام أكثر من فلتر، مع تفعيل الترتيب زي حالة الاستحقاق مع إضافة subtotals للمبلغ حسب الفلاتر المستخدمة.</t>
  </si>
  <si>
    <t>مطلوب تقارير يومية — الحركات اليومية للخزينة النقدية: رصيد أول اليوم + الحركات المدينة - الحركات الدائنة = رصيد آخر اليوم. ★ إضافة عمود تاريخ إنشاء المعاملة + تاريخ الموافقة على المعاملة .
انشاء تقرير كشف حساب في شاشة التقارير لاى حساب يظهر فيه كل الحركات مع وجود عمود بفلتر لاختيار المرحل / غير مرحل (مدفوع / غير مدفوع)</t>
  </si>
  <si>
    <t>طباعة الإيصالات محتاجة تعديل لتتم الطباعة بطريقة احترافية، وشكل الإيصال يكون كما النموذج المرسل إليك. + تظبيط السيريال لدفعات المبيعات بحيث بكون سيريال جديد وقت تحصيل الدفعات متوافق مع السيريال الاوتوماتيك للسيستم</t>
  </si>
  <si>
    <t>عند تكرار الدفعات يكون الطرف ونوع الدفعة قابلة للتعديل مع إضافة أنواع دفعات جديدة لقائمة نوع الدفعة و ربطها بالقيود المحاسبية الصحيحة.</t>
  </si>
  <si>
    <t>مطلوب تقارير يومية — الحركات اليومية الإجمالية لكل موظف (Daily Activity Report) من أول login، مع إظهار المعاملات التي تم الموافقة عليها.+ إضافة شاشة للمعاملات التي تحتاج إلى موافقة سواء سندات الصرف او القبض او القيود (Approval Q).</t>
  </si>
  <si>
    <t xml:space="preserve">
 8+7-ب</t>
  </si>
  <si>
    <t>شاشة للايجارات -مبلغ الايجار المستحق - تاريخ الستحقاق - الأطراف المستحقة مع اوتوميشن لاثبات الاستحقاق و ربط سندات الصرف برقم حساب كل طرف (حساب رئيسى للطرف يتم تحويل جميع الإيجارات المستحقة من كل حساب فرعى الى الحساب الرئيسى)</t>
  </si>
  <si>
    <t>إضافة الرصيد ⟨المستخدم⟩ مع الإجازات والرصيد المستحق.</t>
  </si>
  <si>
    <t>إمكانية تعديل السلف — مبلغ الاستقطاع الشهري — بعد الاتفاق. مع إضافة check box للدفع النقدى للفسط المستحق بدلا من الخصم المباشر من الراتب</t>
  </si>
  <si>
    <t>(بند فرعي تحت السلف) عند الضغط على المبلغ ⟨المستحق⟩ يعرض ويطبع الحركات ⟨المستخدمة⟩ — كشف حساب. في شاشة السلف يرط رقم الدفعة الصادرة للسلفة + الدفعات الواردة اللتى تم خصمها مع اظهار الرصيد المتبقى للسلفة ( تعميم ذلك على الصفحة الرئيسية اظهار السلفة - المدفوع - المتبقى</t>
  </si>
  <si>
    <t>إمكانية زيادة الليميت (اظهار كشف حساب للدفعات المستخدمة من الليميت و الرصيد بعد كل دفعة) + الشاشة الرئيسية تعرض الليميت - المستخدم - المتبقى</t>
  </si>
  <si>
    <t>حد الائتمان  للطرف</t>
  </si>
  <si>
    <t>حد الائتمان  للمشروع</t>
  </si>
  <si>
    <t>ربط حد ائتمان للمشروع لاظهار المستخدم من كل المستخلصات مع اختلاف المقاولين او الموردين و المبلغ المتبقى من الليميت</t>
  </si>
  <si>
    <t>إمكانية تعديل بيانات غير مالية في طلبات المبيعات دون حذف كل الدفعات السابقة، مثل تعديل التاريخ. / اسم الموظف</t>
  </si>
  <si>
    <t>إمكانية ومرونة تغيير الدفعات وإعادة هيكلتها، مع وجود إمكانية لدفعات مختلطة: شهرية + ربع سنوية + سنوية.+ شاشة مرنة مخصصة لاعداد جدول الأقساط و طباعته قبل تمرير المعاملة حسب نموذج الاكسل المستخدم و المرسل اليكم سابقا</t>
  </si>
  <si>
    <t>مبلغ العمولة يتم محاسبته حسب الملف المرسل سابقًا، ويكون رقم الوحدة هو الأساس مع إمكانية صرف العمولات لطرف أو أكثر في كل مرة. وعند البحث برقم الوحدة يتم معرفة ما تم صرفه والمبلغ المستحق والمبلغ المتبقي للصرف وإجمالي العمولة. + ضرائب العمولات اللى مفروض تتورد للضرائب مع ربط بالفاتورة الالكترونية مع تعديل دفعات العمولات مع القيود المحاسبية المرسلة سابقا</t>
  </si>
  <si>
    <t>طريقة لتحويل الدفعات المستلمة في حساب جدية حجز المشروع قبل انشاء طلب المبيعات إلى اجزاء من الدفعة المقدمة بعد إنشاء طلب المبيعات.</t>
  </si>
  <si>
    <t>الدمج مع الواتس لإرسال رسائل مختلفة للعملاء بالأقساط المستحقة: تذكير بمواعيد الاستحقاق قبلها، ورسائل للأقساط المتأخرة أو ارتداد الشيكات. + رسائل لموظف الخزينة و مديره بالشيكات المستحقة للتحصيل قبل موعدها بيوم لارسالها الى البنك</t>
  </si>
  <si>
    <t>تعديل جدول السداد ليكون الاجمالى = سعر البيع + وديعة الصيانة ليشمل دفعات الصيانة مع الدفعات المقدمة و الأقساط  مع إمكانية زيادة عدد الدفعات المقدمة و دفعات الصيانة حسب العدد الموافق عليه حسب تسلسل التواريخ بالترتيب مع إضافة تفاصيل الشيكات و طباعة سند قبض متعدد برقم واحد يشمل كل الشيكات المستلمة عن الوحدة المباعة</t>
  </si>
  <si>
    <t>KPI  لتحديد التارجت  و المنفذ فعليا حسب نطاق التاريخ / شهرى - ربع سنوى إضافة المصاريف / الضرائب المحملة على المشروع إلى تقرير المشروع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</si>
</sst>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rial"/>
      <family val="2"/>
    </font>
    <font>
      <sz val="11"/>
      <name val="Arial"/>
      <family val="2"/>
    </font>
    <font>
      <b/>
      <sz val="12"/>
      <name val="Arial"/>
      <family val="2"/>
    </font>
    <font>
      <b/>
      <sz val="11"/>
      <color rgb="FFFFFFFF"/>
      <name val="Arial"/>
      <family val="2"/>
    </font>
    <font>
      <sz val="11"/>
      <color rgb="FF0000FF"/>
      <name val="Arial"/>
      <family val="2"/>
    </font>
    <font>
      <sz val="11"/>
      <color rgb="FF000000"/>
      <name val="Arial"/>
      <family val="2"/>
    </font>
    <font>
      <b/>
      <sz val="11"/>
      <name val="Arial"/>
      <family val="2"/>
    </font>
    <font>
      <sz val="10"/>
      <name val="Arial"/>
      <family val="2"/>
    </font>
    <font>
      <i/>
      <sz val="10"/>
      <name val="Arial"/>
      <family val="2"/>
    </font>
    <font>
      <sz val="11"/>
      <name val="Arial"/>
      <family val="2"/>
    </font>
  </fonts>
  <fills count="6">
    <fill>
      <patternFill patternType="none"/>
    </fill>
    <fill>
      <patternFill patternType="gray125"/>
    </fill>
    <fill>
      <patternFill patternType="solid">
        <fgColor rgb="FF1B4FA8"/>
      </patternFill>
    </fill>
    <fill>
      <patternFill patternType="solid">
        <fgColor rgb="FFFFF4D6"/>
      </patternFill>
    </fill>
    <fill>
      <patternFill patternType="solid">
        <fgColor rgb="FFF3F5F8"/>
      </patternFill>
    </fill>
    <fill>
      <patternFill patternType="solid">
        <fgColor rgb="FFFFC000"/>
        <bgColor indexed="64"/>
      </patternFill>
    </fill>
  </fills>
  <borders count="2">
    <border>
      <left/>
      <right/>
      <top/>
      <bottom/>
      <diagonal/>
    </border>
    <border>
      <left style="thin">
        <color rgb="FFC8CFD8"/>
      </left>
      <right style="thin">
        <color rgb="FFC8CFD8"/>
      </right>
      <top style="thin">
        <color rgb="FFC8CFD8"/>
      </top>
      <bottom style="thin">
        <color rgb="FFC8CFD8"/>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righ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righ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right" vertical="top" wrapText="1"/>
    </xf>
    <xf numFmtId="0" fontId="3" fillId="0" borderId="0" xfId="0" applyFont="1"/>
    <xf numFmtId="0" fontId="4" fillId="2" borderId="1" xfId="0" applyFont="1" applyFill="1" applyBorder="1" applyAlignment="1">
      <alignment horizontal="center" wrapText="1"/>
    </xf>
    <xf numFmtId="3" fontId="5" fillId="0" borderId="1" xfId="0" applyNumberFormat="1" applyFont="1" applyBorder="1" applyAlignment="1">
      <alignment horizontal="center"/>
    </xf>
    <xf numFmtId="0" fontId="6" fillId="0" borderId="1" xfId="0" applyFont="1" applyBorder="1" applyAlignment="1">
      <alignment horizontal="center"/>
    </xf>
    <xf numFmtId="9" fontId="5" fillId="0" borderId="1" xfId="0" applyNumberFormat="1" applyFont="1" applyBorder="1" applyAlignment="1">
      <alignment horizontal="center"/>
    </xf>
    <xf numFmtId="3" fontId="6" fillId="0" borderId="1" xfId="0" applyNumberFormat="1" applyFont="1" applyBorder="1" applyAlignment="1">
      <alignment horizontal="center"/>
    </xf>
    <xf numFmtId="0" fontId="7" fillId="0" borderId="0" xfId="0" applyFont="1"/>
    <xf numFmtId="0" fontId="9" fillId="0" borderId="0" xfId="0" applyFont="1"/>
    <xf numFmtId="0" fontId="4" fillId="2" borderId="1" xfId="0" applyFont="1" applyFill="1" applyBorder="1" applyAlignment="1">
      <alignment horizontal="center"/>
    </xf>
    <xf numFmtId="0" fontId="10" fillId="0" borderId="1" xfId="0" applyFont="1" applyBorder="1" applyAlignment="1">
      <alignment horizontal="right"/>
    </xf>
    <xf numFmtId="0" fontId="10" fillId="0" borderId="1" xfId="0" applyFont="1" applyBorder="1" applyAlignment="1">
      <alignment horizontal="center"/>
    </xf>
    <xf numFmtId="0" fontId="7" fillId="0" borderId="1" xfId="0" applyFont="1" applyBorder="1" applyAlignment="1">
      <alignment horizontal="right"/>
    </xf>
    <xf numFmtId="0" fontId="7" fillId="0" borderId="1" xfId="0" applyFont="1" applyBorder="1" applyAlignment="1">
      <alignment horizontal="center"/>
    </xf>
    <xf numFmtId="0" fontId="8" fillId="0" borderId="0" xfId="0" applyFont="1"/>
    <xf numFmtId="0" fontId="0" fillId="0" borderId="0" xfId="0"/>
    <xf numFmtId="0" fontId="9" fillId="0" borderId="0" xfId="0" applyFont="1"/>
    <xf numFmtId="0" fontId="3" fillId="0" borderId="0" xfId="0" applyFont="1"/>
    <xf numFmtId="0" fontId="2" fillId="5" borderId="1" xfId="0" applyFont="1" applyFill="1" applyBorder="1" applyAlignment="1">
      <alignment horizontal="center" vertical="top" wrapText="1"/>
    </xf>
    <xf numFmtId="0" fontId="2" fillId="5" borderId="1" xfId="0" applyFont="1" applyFill="1" applyBorder="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rightToLeft="1" tabSelected="1" zoomScale="120" zoomScaleNormal="120" workbookViewId="0">
      <pane ySplit="1" topLeftCell="A25" activePane="bottomLeft" state="frozen"/>
      <selection pane="bottomLeft" activeCell="F52" sqref="F52"/>
    </sheetView>
  </sheetViews>
  <sheetFormatPr defaultRowHeight="14.4" x14ac:dyDescent="0.3"/>
  <cols>
    <col min="1" max="1" width="6" customWidth="1"/>
    <col min="2" max="2" width="5" customWidth="1"/>
    <col min="3" max="3" width="17.33203125" customWidth="1"/>
    <col min="4" max="4" width="9.21875" customWidth="1"/>
    <col min="5" max="5" width="104.44140625" customWidth="1"/>
    <col min="6" max="6" width="22" customWidth="1"/>
    <col min="7" max="7" width="16" customWidth="1"/>
  </cols>
  <sheetData>
    <row r="1" spans="1:7" ht="30" customHeight="1" x14ac:dyDescent="0.3">
      <c r="A1" s="1" t="s">
        <v>0</v>
      </c>
      <c r="B1" s="1" t="s">
        <v>1</v>
      </c>
      <c r="C1" s="1" t="s">
        <v>2</v>
      </c>
      <c r="D1" s="1" t="s">
        <v>3</v>
      </c>
      <c r="E1" s="1" t="s">
        <v>4</v>
      </c>
      <c r="F1" s="1" t="s">
        <v>5</v>
      </c>
      <c r="G1" s="1" t="s">
        <v>6</v>
      </c>
    </row>
    <row r="2" spans="1:7" ht="27.6" x14ac:dyDescent="0.3">
      <c r="A2" s="2">
        <v>1</v>
      </c>
      <c r="B2" s="2">
        <v>1</v>
      </c>
      <c r="C2" s="3" t="s">
        <v>7</v>
      </c>
      <c r="D2" s="2" t="s">
        <v>8</v>
      </c>
      <c r="E2" s="3" t="s">
        <v>80</v>
      </c>
      <c r="F2" s="2" t="s">
        <v>9</v>
      </c>
      <c r="G2" s="2"/>
    </row>
    <row r="3" spans="1:7" ht="31.95" customHeight="1" x14ac:dyDescent="0.3">
      <c r="A3" s="4">
        <v>2</v>
      </c>
      <c r="B3" s="4">
        <v>1</v>
      </c>
      <c r="C3" s="5" t="s">
        <v>7</v>
      </c>
      <c r="D3" s="4" t="s">
        <v>8</v>
      </c>
      <c r="E3" s="5" t="s">
        <v>81</v>
      </c>
      <c r="F3" s="4" t="s">
        <v>10</v>
      </c>
      <c r="G3" s="4" t="s">
        <v>11</v>
      </c>
    </row>
    <row r="4" spans="1:7" ht="19.95" customHeight="1" x14ac:dyDescent="0.3">
      <c r="A4" s="2">
        <v>3</v>
      </c>
      <c r="B4" s="2">
        <v>1</v>
      </c>
      <c r="C4" s="3" t="s">
        <v>7</v>
      </c>
      <c r="D4" s="2" t="s">
        <v>12</v>
      </c>
      <c r="E4" s="3" t="s">
        <v>82</v>
      </c>
      <c r="F4" s="2"/>
      <c r="G4" s="2"/>
    </row>
    <row r="5" spans="1:7" ht="31.95" customHeight="1" x14ac:dyDescent="0.3">
      <c r="A5" s="4">
        <v>4</v>
      </c>
      <c r="B5" s="4">
        <v>1</v>
      </c>
      <c r="C5" s="5" t="s">
        <v>7</v>
      </c>
      <c r="D5" s="4" t="s">
        <v>12</v>
      </c>
      <c r="E5" s="5" t="s">
        <v>13</v>
      </c>
      <c r="F5" s="4" t="s">
        <v>14</v>
      </c>
      <c r="G5" s="4" t="s">
        <v>11</v>
      </c>
    </row>
    <row r="6" spans="1:7" ht="19.95" customHeight="1" x14ac:dyDescent="0.3">
      <c r="A6" s="4">
        <v>5</v>
      </c>
      <c r="B6" s="4">
        <v>1</v>
      </c>
      <c r="C6" s="5" t="s">
        <v>7</v>
      </c>
      <c r="D6" s="4" t="s">
        <v>12</v>
      </c>
      <c r="E6" s="5" t="s">
        <v>83</v>
      </c>
      <c r="F6" s="4" t="s">
        <v>15</v>
      </c>
      <c r="G6" s="4" t="s">
        <v>11</v>
      </c>
    </row>
    <row r="7" spans="1:7" ht="31.95" customHeight="1" x14ac:dyDescent="0.3">
      <c r="A7" s="6">
        <v>6</v>
      </c>
      <c r="B7" s="6">
        <v>1</v>
      </c>
      <c r="C7" s="7" t="s">
        <v>7</v>
      </c>
      <c r="D7" s="6" t="s">
        <v>8</v>
      </c>
      <c r="E7" s="7" t="s">
        <v>85</v>
      </c>
      <c r="F7" s="6"/>
      <c r="G7" s="6"/>
    </row>
    <row r="8" spans="1:7" ht="31.95" customHeight="1" x14ac:dyDescent="0.3">
      <c r="A8" s="2">
        <v>7</v>
      </c>
      <c r="B8" s="2">
        <v>1</v>
      </c>
      <c r="C8" s="3" t="s">
        <v>7</v>
      </c>
      <c r="D8" s="2" t="s">
        <v>8</v>
      </c>
      <c r="E8" s="3" t="s">
        <v>16</v>
      </c>
      <c r="F8" s="2"/>
      <c r="G8" s="2"/>
    </row>
    <row r="9" spans="1:7" ht="19.95" customHeight="1" x14ac:dyDescent="0.3">
      <c r="A9" s="6">
        <v>8</v>
      </c>
      <c r="B9" s="6">
        <v>1</v>
      </c>
      <c r="C9" s="7" t="s">
        <v>7</v>
      </c>
      <c r="D9" s="6" t="s">
        <v>8</v>
      </c>
      <c r="E9" s="7" t="s">
        <v>17</v>
      </c>
      <c r="F9" s="6"/>
      <c r="G9" s="6"/>
    </row>
    <row r="10" spans="1:7" ht="27.6" x14ac:dyDescent="0.3">
      <c r="A10" s="2">
        <v>9</v>
      </c>
      <c r="B10" s="2">
        <v>1</v>
      </c>
      <c r="C10" s="3" t="s">
        <v>7</v>
      </c>
      <c r="D10" s="2" t="s">
        <v>8</v>
      </c>
      <c r="E10" s="3" t="s">
        <v>84</v>
      </c>
      <c r="F10" s="2"/>
      <c r="G10" s="2"/>
    </row>
    <row r="11" spans="1:7" ht="48" customHeight="1" x14ac:dyDescent="0.3">
      <c r="A11" s="4">
        <v>10</v>
      </c>
      <c r="B11" s="4">
        <v>2</v>
      </c>
      <c r="C11" s="5" t="s">
        <v>18</v>
      </c>
      <c r="D11" s="4" t="s">
        <v>19</v>
      </c>
      <c r="E11" s="5" t="s">
        <v>20</v>
      </c>
      <c r="F11" s="4"/>
      <c r="G11" s="4" t="s">
        <v>11</v>
      </c>
    </row>
    <row r="12" spans="1:7" ht="31.95" customHeight="1" x14ac:dyDescent="0.3">
      <c r="A12" s="2">
        <v>11</v>
      </c>
      <c r="B12" s="2">
        <v>2</v>
      </c>
      <c r="C12" s="3" t="s">
        <v>18</v>
      </c>
      <c r="D12" s="2" t="s">
        <v>21</v>
      </c>
      <c r="E12" s="3" t="s">
        <v>22</v>
      </c>
      <c r="F12" s="2"/>
      <c r="G12" s="2"/>
    </row>
    <row r="13" spans="1:7" ht="48" customHeight="1" x14ac:dyDescent="0.3">
      <c r="A13" s="6">
        <v>12</v>
      </c>
      <c r="B13" s="6">
        <v>2</v>
      </c>
      <c r="C13" s="7" t="s">
        <v>18</v>
      </c>
      <c r="D13" s="6" t="s">
        <v>23</v>
      </c>
      <c r="E13" s="7" t="s">
        <v>24</v>
      </c>
      <c r="F13" s="6" t="s">
        <v>25</v>
      </c>
      <c r="G13" s="6"/>
    </row>
    <row r="14" spans="1:7" x14ac:dyDescent="0.3">
      <c r="A14" s="4">
        <v>13</v>
      </c>
      <c r="B14" s="4">
        <v>3</v>
      </c>
      <c r="C14" s="5" t="s">
        <v>26</v>
      </c>
      <c r="D14" s="4" t="s">
        <v>27</v>
      </c>
      <c r="E14" s="5" t="s">
        <v>86</v>
      </c>
      <c r="F14" s="4"/>
      <c r="G14" s="4" t="s">
        <v>11</v>
      </c>
    </row>
    <row r="15" spans="1:7" x14ac:dyDescent="0.3">
      <c r="A15" s="6">
        <v>14</v>
      </c>
      <c r="B15" s="6">
        <v>3</v>
      </c>
      <c r="C15" s="7" t="s">
        <v>26</v>
      </c>
      <c r="D15" s="6" t="s">
        <v>19</v>
      </c>
      <c r="E15" s="7" t="s">
        <v>92</v>
      </c>
      <c r="F15" s="6"/>
      <c r="G15" s="6"/>
    </row>
    <row r="16" spans="1:7" ht="31.95" customHeight="1" x14ac:dyDescent="0.3">
      <c r="A16" s="2">
        <v>15</v>
      </c>
      <c r="B16" s="2">
        <v>3</v>
      </c>
      <c r="C16" s="3" t="s">
        <v>26</v>
      </c>
      <c r="D16" s="2" t="s">
        <v>21</v>
      </c>
      <c r="E16" s="3" t="s">
        <v>87</v>
      </c>
      <c r="F16" s="2"/>
      <c r="G16" s="2"/>
    </row>
    <row r="17" spans="1:7" x14ac:dyDescent="0.3">
      <c r="A17" s="6">
        <v>16</v>
      </c>
      <c r="B17" s="6">
        <v>3</v>
      </c>
      <c r="C17" s="7" t="s">
        <v>26</v>
      </c>
      <c r="D17" s="6" t="s">
        <v>23</v>
      </c>
      <c r="E17" s="7" t="s">
        <v>28</v>
      </c>
      <c r="F17" s="6"/>
      <c r="G17" s="6"/>
    </row>
    <row r="18" spans="1:7" ht="19.95" customHeight="1" x14ac:dyDescent="0.3">
      <c r="A18" s="2">
        <v>17</v>
      </c>
      <c r="B18" s="2">
        <v>3</v>
      </c>
      <c r="C18" s="3" t="s">
        <v>26</v>
      </c>
      <c r="D18" s="2" t="s">
        <v>29</v>
      </c>
      <c r="E18" s="3" t="s">
        <v>88</v>
      </c>
      <c r="F18" s="2"/>
      <c r="G18" s="2"/>
    </row>
    <row r="19" spans="1:7" x14ac:dyDescent="0.3">
      <c r="A19" s="6">
        <v>18</v>
      </c>
      <c r="B19" s="6">
        <v>3</v>
      </c>
      <c r="C19" s="7" t="s">
        <v>26</v>
      </c>
      <c r="D19" s="6" t="s">
        <v>30</v>
      </c>
      <c r="E19" s="7" t="s">
        <v>31</v>
      </c>
      <c r="F19" s="6"/>
      <c r="G19" s="6"/>
    </row>
    <row r="20" spans="1:7" ht="31.95" customHeight="1" x14ac:dyDescent="0.3">
      <c r="A20" s="2">
        <v>19</v>
      </c>
      <c r="B20" s="2">
        <v>3</v>
      </c>
      <c r="C20" s="3" t="s">
        <v>26</v>
      </c>
      <c r="D20" s="2" t="s">
        <v>32</v>
      </c>
      <c r="E20" s="3" t="s">
        <v>91</v>
      </c>
      <c r="F20" s="2"/>
      <c r="G20" s="2"/>
    </row>
    <row r="21" spans="1:7" ht="41.4" x14ac:dyDescent="0.3">
      <c r="A21" s="6">
        <v>20</v>
      </c>
      <c r="B21" s="6">
        <v>3</v>
      </c>
      <c r="C21" s="7" t="s">
        <v>26</v>
      </c>
      <c r="D21" s="6" t="s">
        <v>33</v>
      </c>
      <c r="E21" s="7" t="s">
        <v>90</v>
      </c>
      <c r="F21" s="6"/>
      <c r="G21" s="6"/>
    </row>
    <row r="22" spans="1:7" ht="31.95" customHeight="1" x14ac:dyDescent="0.3">
      <c r="A22" s="2">
        <v>21</v>
      </c>
      <c r="B22" s="2">
        <v>3</v>
      </c>
      <c r="C22" s="3" t="s">
        <v>26</v>
      </c>
      <c r="D22" s="2" t="s">
        <v>94</v>
      </c>
      <c r="E22" s="3" t="s">
        <v>93</v>
      </c>
      <c r="F22" s="2" t="s">
        <v>34</v>
      </c>
      <c r="G22" s="2"/>
    </row>
    <row r="23" spans="1:7" ht="27.6" x14ac:dyDescent="0.3">
      <c r="A23" s="6">
        <v>22</v>
      </c>
      <c r="B23" s="6">
        <v>3</v>
      </c>
      <c r="C23" s="7" t="s">
        <v>26</v>
      </c>
      <c r="D23" s="6">
        <v>9</v>
      </c>
      <c r="E23" s="7" t="s">
        <v>95</v>
      </c>
      <c r="F23" s="6" t="s">
        <v>35</v>
      </c>
      <c r="G23" s="6"/>
    </row>
    <row r="24" spans="1:7" ht="31.95" customHeight="1" x14ac:dyDescent="0.3">
      <c r="A24" s="2">
        <v>23</v>
      </c>
      <c r="B24" s="2">
        <v>3</v>
      </c>
      <c r="C24" s="3" t="s">
        <v>26</v>
      </c>
      <c r="D24" s="2">
        <v>10</v>
      </c>
      <c r="E24" s="3" t="s">
        <v>89</v>
      </c>
      <c r="F24" s="2" t="s">
        <v>36</v>
      </c>
      <c r="G24" s="2"/>
    </row>
    <row r="25" spans="1:7" ht="19.95" customHeight="1" x14ac:dyDescent="0.3">
      <c r="A25" s="6">
        <v>24</v>
      </c>
      <c r="B25" s="6">
        <v>4</v>
      </c>
      <c r="C25" s="7" t="s">
        <v>37</v>
      </c>
      <c r="D25" s="6" t="s">
        <v>19</v>
      </c>
      <c r="E25" s="7" t="s">
        <v>38</v>
      </c>
      <c r="F25" s="6"/>
      <c r="G25" s="6"/>
    </row>
    <row r="26" spans="1:7" ht="19.95" customHeight="1" x14ac:dyDescent="0.3">
      <c r="A26" s="2">
        <v>25</v>
      </c>
      <c r="B26" s="2">
        <v>4</v>
      </c>
      <c r="C26" s="3" t="s">
        <v>37</v>
      </c>
      <c r="D26" s="2" t="s">
        <v>21</v>
      </c>
      <c r="E26" s="3" t="s">
        <v>39</v>
      </c>
      <c r="F26" s="2"/>
      <c r="G26" s="2"/>
    </row>
    <row r="27" spans="1:7" ht="31.95" customHeight="1" x14ac:dyDescent="0.3">
      <c r="A27" s="6">
        <v>26</v>
      </c>
      <c r="B27" s="6">
        <v>4</v>
      </c>
      <c r="C27" s="7" t="s">
        <v>37</v>
      </c>
      <c r="D27" s="6" t="s">
        <v>23</v>
      </c>
      <c r="E27" s="7" t="s">
        <v>40</v>
      </c>
      <c r="F27" s="6"/>
      <c r="G27" s="6"/>
    </row>
    <row r="28" spans="1:7" ht="19.95" customHeight="1" x14ac:dyDescent="0.3">
      <c r="A28" s="2">
        <v>27</v>
      </c>
      <c r="B28" s="2">
        <v>4</v>
      </c>
      <c r="C28" s="3" t="s">
        <v>41</v>
      </c>
      <c r="D28" s="2" t="s">
        <v>19</v>
      </c>
      <c r="E28" s="3" t="s">
        <v>42</v>
      </c>
      <c r="F28" s="2"/>
      <c r="G28" s="2"/>
    </row>
    <row r="29" spans="1:7" ht="31.95" customHeight="1" x14ac:dyDescent="0.3">
      <c r="A29" s="4">
        <v>28</v>
      </c>
      <c r="B29" s="4">
        <v>4</v>
      </c>
      <c r="C29" s="5" t="s">
        <v>41</v>
      </c>
      <c r="D29" s="4" t="s">
        <v>21</v>
      </c>
      <c r="E29" s="5" t="s">
        <v>43</v>
      </c>
      <c r="F29" s="4"/>
      <c r="G29" s="4" t="s">
        <v>11</v>
      </c>
    </row>
    <row r="30" spans="1:7" ht="19.95" customHeight="1" x14ac:dyDescent="0.3">
      <c r="A30" s="4">
        <v>29</v>
      </c>
      <c r="B30" s="4">
        <v>4</v>
      </c>
      <c r="C30" s="5" t="s">
        <v>41</v>
      </c>
      <c r="D30" s="4" t="s">
        <v>23</v>
      </c>
      <c r="E30" s="5" t="s">
        <v>96</v>
      </c>
      <c r="F30" s="4"/>
      <c r="G30" s="4" t="s">
        <v>11</v>
      </c>
    </row>
    <row r="31" spans="1:7" ht="19.95" customHeight="1" x14ac:dyDescent="0.3">
      <c r="A31" s="6">
        <v>30</v>
      </c>
      <c r="B31" s="6">
        <v>4</v>
      </c>
      <c r="C31" s="7" t="s">
        <v>41</v>
      </c>
      <c r="D31" s="6" t="s">
        <v>29</v>
      </c>
      <c r="E31" s="7" t="s">
        <v>97</v>
      </c>
      <c r="F31" s="6"/>
      <c r="G31" s="6"/>
    </row>
    <row r="32" spans="1:7" ht="19.95" customHeight="1" x14ac:dyDescent="0.3">
      <c r="A32" s="2">
        <v>31</v>
      </c>
      <c r="B32" s="2">
        <v>4</v>
      </c>
      <c r="C32" s="3" t="s">
        <v>41</v>
      </c>
      <c r="D32" s="2" t="s">
        <v>44</v>
      </c>
      <c r="E32" s="3" t="s">
        <v>45</v>
      </c>
      <c r="F32" s="2"/>
      <c r="G32" s="2"/>
    </row>
    <row r="33" spans="1:7" ht="31.95" customHeight="1" x14ac:dyDescent="0.3">
      <c r="A33" s="4">
        <v>32</v>
      </c>
      <c r="B33" s="4">
        <v>4</v>
      </c>
      <c r="C33" s="5" t="s">
        <v>41</v>
      </c>
      <c r="D33" s="4" t="s">
        <v>46</v>
      </c>
      <c r="E33" s="5" t="s">
        <v>98</v>
      </c>
      <c r="F33" s="4"/>
      <c r="G33" s="4" t="s">
        <v>11</v>
      </c>
    </row>
    <row r="34" spans="1:7" ht="19.95" customHeight="1" x14ac:dyDescent="0.3">
      <c r="A34" s="25">
        <v>33</v>
      </c>
      <c r="B34" s="25">
        <v>5</v>
      </c>
      <c r="C34" s="26" t="s">
        <v>100</v>
      </c>
      <c r="D34" s="25" t="s">
        <v>19</v>
      </c>
      <c r="E34" s="26" t="s">
        <v>99</v>
      </c>
      <c r="F34" s="4"/>
      <c r="G34" s="4" t="s">
        <v>11</v>
      </c>
    </row>
    <row r="35" spans="1:7" ht="19.95" customHeight="1" x14ac:dyDescent="0.3">
      <c r="A35" s="25">
        <v>34</v>
      </c>
      <c r="B35" s="25">
        <v>5</v>
      </c>
      <c r="C35" s="26" t="s">
        <v>101</v>
      </c>
      <c r="D35" s="25" t="s">
        <v>21</v>
      </c>
      <c r="E35" s="26" t="s">
        <v>102</v>
      </c>
      <c r="F35" s="4"/>
      <c r="G35" s="4" t="s">
        <v>11</v>
      </c>
    </row>
    <row r="36" spans="1:7" ht="27.6" x14ac:dyDescent="0.3">
      <c r="A36" s="2">
        <v>35</v>
      </c>
      <c r="B36" s="2">
        <v>5</v>
      </c>
      <c r="C36" s="3" t="s">
        <v>48</v>
      </c>
      <c r="D36" s="2" t="s">
        <v>19</v>
      </c>
      <c r="E36" s="3" t="s">
        <v>107</v>
      </c>
      <c r="F36" s="2" t="s">
        <v>49</v>
      </c>
      <c r="G36" s="2"/>
    </row>
    <row r="37" spans="1:7" x14ac:dyDescent="0.3">
      <c r="A37" s="6">
        <v>36</v>
      </c>
      <c r="B37" s="6">
        <v>5</v>
      </c>
      <c r="C37" s="7" t="s">
        <v>48</v>
      </c>
      <c r="D37" s="6" t="s">
        <v>21</v>
      </c>
      <c r="E37" s="7" t="s">
        <v>103</v>
      </c>
      <c r="F37" s="6"/>
      <c r="G37" s="6"/>
    </row>
    <row r="38" spans="1:7" ht="31.95" customHeight="1" x14ac:dyDescent="0.3">
      <c r="A38" s="2">
        <v>37</v>
      </c>
      <c r="B38" s="2">
        <v>5</v>
      </c>
      <c r="C38" s="3" t="s">
        <v>48</v>
      </c>
      <c r="D38" s="2" t="s">
        <v>23</v>
      </c>
      <c r="E38" s="3" t="s">
        <v>50</v>
      </c>
      <c r="F38" s="2"/>
      <c r="G38" s="2"/>
    </row>
    <row r="39" spans="1:7" ht="31.95" customHeight="1" x14ac:dyDescent="0.3">
      <c r="A39" s="6">
        <v>38</v>
      </c>
      <c r="B39" s="6">
        <v>5</v>
      </c>
      <c r="C39" s="7" t="s">
        <v>48</v>
      </c>
      <c r="D39" s="6" t="s">
        <v>29</v>
      </c>
      <c r="E39" s="7" t="s">
        <v>104</v>
      </c>
      <c r="F39" s="6"/>
      <c r="G39" s="6"/>
    </row>
    <row r="40" spans="1:7" x14ac:dyDescent="0.3">
      <c r="A40" s="4">
        <v>39</v>
      </c>
      <c r="B40" s="4">
        <v>5</v>
      </c>
      <c r="C40" s="5" t="s">
        <v>48</v>
      </c>
      <c r="D40" s="4" t="s">
        <v>51</v>
      </c>
      <c r="E40" s="5" t="s">
        <v>109</v>
      </c>
      <c r="F40" s="4"/>
      <c r="G40" s="4" t="s">
        <v>11</v>
      </c>
    </row>
    <row r="41" spans="1:7" ht="41.4" x14ac:dyDescent="0.3">
      <c r="A41" s="6">
        <v>40</v>
      </c>
      <c r="B41" s="6">
        <v>5</v>
      </c>
      <c r="C41" s="7" t="s">
        <v>48</v>
      </c>
      <c r="D41" s="6" t="s">
        <v>30</v>
      </c>
      <c r="E41" s="7" t="s">
        <v>105</v>
      </c>
      <c r="F41" s="6"/>
      <c r="G41" s="6"/>
    </row>
    <row r="42" spans="1:7" ht="41.4" x14ac:dyDescent="0.3">
      <c r="A42" s="4">
        <v>41</v>
      </c>
      <c r="B42" s="4">
        <v>5</v>
      </c>
      <c r="C42" s="5" t="s">
        <v>48</v>
      </c>
      <c r="D42" s="4" t="s">
        <v>32</v>
      </c>
      <c r="E42" s="5" t="s">
        <v>108</v>
      </c>
      <c r="F42" s="4" t="s">
        <v>52</v>
      </c>
      <c r="G42" s="4" t="s">
        <v>11</v>
      </c>
    </row>
    <row r="43" spans="1:7" x14ac:dyDescent="0.3">
      <c r="A43" s="6">
        <v>42</v>
      </c>
      <c r="B43" s="6">
        <v>5</v>
      </c>
      <c r="C43" s="7" t="s">
        <v>48</v>
      </c>
      <c r="D43" s="6" t="s">
        <v>53</v>
      </c>
      <c r="E43" s="7" t="s">
        <v>106</v>
      </c>
      <c r="F43" s="6"/>
      <c r="G43" s="6"/>
    </row>
    <row r="44" spans="1:7" ht="31.95" customHeight="1" x14ac:dyDescent="0.3">
      <c r="A44" s="2">
        <v>43</v>
      </c>
      <c r="B44" s="2">
        <v>6</v>
      </c>
      <c r="C44" s="3" t="s">
        <v>54</v>
      </c>
      <c r="D44" s="2" t="s">
        <v>19</v>
      </c>
      <c r="E44" s="3" t="s">
        <v>55</v>
      </c>
      <c r="F44" s="2"/>
      <c r="G44" s="2"/>
    </row>
    <row r="45" spans="1:7" ht="19.95" customHeight="1" x14ac:dyDescent="0.3">
      <c r="A45" s="6">
        <v>44</v>
      </c>
      <c r="B45" s="6">
        <v>6</v>
      </c>
      <c r="C45" s="7" t="s">
        <v>54</v>
      </c>
      <c r="D45" s="6" t="s">
        <v>21</v>
      </c>
      <c r="E45" s="7" t="s">
        <v>56</v>
      </c>
      <c r="F45" s="6"/>
      <c r="G45" s="6"/>
    </row>
    <row r="46" spans="1:7" ht="31.95" customHeight="1" x14ac:dyDescent="0.3">
      <c r="A46" s="2">
        <v>45</v>
      </c>
      <c r="B46" s="2">
        <v>6</v>
      </c>
      <c r="C46" s="3" t="s">
        <v>54</v>
      </c>
      <c r="D46" s="2" t="s">
        <v>23</v>
      </c>
      <c r="E46" s="3" t="s">
        <v>57</v>
      </c>
      <c r="F46" s="2" t="s">
        <v>58</v>
      </c>
      <c r="G46" s="2"/>
    </row>
    <row r="47" spans="1:7" ht="19.95" customHeight="1" x14ac:dyDescent="0.3">
      <c r="A47" s="6">
        <v>46</v>
      </c>
      <c r="B47" s="6">
        <v>6</v>
      </c>
      <c r="C47" s="7" t="s">
        <v>54</v>
      </c>
      <c r="D47" s="6" t="s">
        <v>29</v>
      </c>
      <c r="E47" s="7" t="s">
        <v>59</v>
      </c>
      <c r="F47" s="6"/>
      <c r="G47" s="6"/>
    </row>
    <row r="48" spans="1:7" ht="19.95" customHeight="1" x14ac:dyDescent="0.3">
      <c r="A48" s="2">
        <v>47</v>
      </c>
      <c r="B48" s="2">
        <v>6</v>
      </c>
      <c r="C48" s="3" t="s">
        <v>54</v>
      </c>
      <c r="D48" s="2" t="s">
        <v>30</v>
      </c>
      <c r="E48" s="3" t="s">
        <v>60</v>
      </c>
      <c r="F48" s="2" t="s">
        <v>61</v>
      </c>
      <c r="G48" s="2"/>
    </row>
    <row r="49" spans="1:7" x14ac:dyDescent="0.3">
      <c r="A49" s="4">
        <v>48</v>
      </c>
      <c r="B49" s="4">
        <v>6</v>
      </c>
      <c r="C49" s="5" t="s">
        <v>54</v>
      </c>
      <c r="D49" s="4" t="s">
        <v>32</v>
      </c>
      <c r="E49" s="5" t="s">
        <v>62</v>
      </c>
      <c r="F49" s="4"/>
      <c r="G49" s="4" t="s">
        <v>11</v>
      </c>
    </row>
  </sheetData>
  <autoFilter ref="A1:G4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rightToLeft="1" workbookViewId="0">
      <selection sqref="A1:F1"/>
    </sheetView>
  </sheetViews>
  <sheetFormatPr defaultRowHeight="14.4" x14ac:dyDescent="0.3"/>
  <cols>
    <col min="1" max="6" width="18" customWidth="1"/>
  </cols>
  <sheetData>
    <row r="1" spans="1:6" ht="15.6" x14ac:dyDescent="0.3">
      <c r="A1" s="24" t="s">
        <v>63</v>
      </c>
      <c r="B1" s="22"/>
      <c r="C1" s="22"/>
      <c r="D1" s="22"/>
      <c r="E1" s="22"/>
      <c r="F1" s="22"/>
    </row>
    <row r="3" spans="1:6" x14ac:dyDescent="0.3">
      <c r="A3" s="9" t="s">
        <v>64</v>
      </c>
      <c r="B3" s="9" t="s">
        <v>65</v>
      </c>
      <c r="C3" s="9" t="s">
        <v>66</v>
      </c>
      <c r="D3" s="9" t="s">
        <v>67</v>
      </c>
      <c r="E3" s="9" t="s">
        <v>68</v>
      </c>
      <c r="F3" s="9" t="s">
        <v>69</v>
      </c>
    </row>
    <row r="4" spans="1:6" x14ac:dyDescent="0.3">
      <c r="A4" s="10">
        <v>10000</v>
      </c>
      <c r="B4" s="11" t="s">
        <v>70</v>
      </c>
      <c r="C4" s="12">
        <v>0.2</v>
      </c>
      <c r="D4" s="13">
        <f>A4*C4</f>
        <v>2000</v>
      </c>
      <c r="E4" s="10">
        <v>2000</v>
      </c>
      <c r="F4" s="13">
        <f>A4-E4</f>
        <v>8000</v>
      </c>
    </row>
    <row r="5" spans="1:6" x14ac:dyDescent="0.3">
      <c r="A5" s="10">
        <v>10000</v>
      </c>
      <c r="B5" s="11" t="s">
        <v>70</v>
      </c>
      <c r="C5" s="12">
        <v>0.3</v>
      </c>
      <c r="D5" s="13">
        <f>A5*C5</f>
        <v>3000</v>
      </c>
      <c r="E5" s="10"/>
      <c r="F5" s="13"/>
    </row>
    <row r="7" spans="1:6" x14ac:dyDescent="0.3">
      <c r="A7" s="14" t="s">
        <v>71</v>
      </c>
    </row>
    <row r="8" spans="1:6" x14ac:dyDescent="0.3">
      <c r="A8" s="21" t="s">
        <v>72</v>
      </c>
      <c r="B8" s="22"/>
      <c r="C8" s="22"/>
      <c r="D8" s="22"/>
      <c r="E8" s="22"/>
      <c r="F8" s="22"/>
    </row>
    <row r="9" spans="1:6" x14ac:dyDescent="0.3">
      <c r="A9" s="21" t="s">
        <v>73</v>
      </c>
      <c r="B9" s="22"/>
      <c r="C9" s="22"/>
      <c r="D9" s="22"/>
      <c r="E9" s="22"/>
      <c r="F9" s="22"/>
    </row>
    <row r="11" spans="1:6" x14ac:dyDescent="0.3">
      <c r="A11" s="23" t="s">
        <v>74</v>
      </c>
      <c r="B11" s="22"/>
      <c r="C11" s="22"/>
      <c r="D11" s="22"/>
      <c r="E11" s="22"/>
      <c r="F11" s="22"/>
    </row>
  </sheetData>
  <mergeCells count="4">
    <mergeCell ref="A8:F8"/>
    <mergeCell ref="A11:F11"/>
    <mergeCell ref="A1:F1"/>
    <mergeCell ref="A9:F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rightToLeft="1" workbookViewId="0"/>
  </sheetViews>
  <sheetFormatPr defaultRowHeight="14.4" x14ac:dyDescent="0.3"/>
  <cols>
    <col min="1" max="1" width="30" customWidth="1"/>
    <col min="2" max="2" width="14" customWidth="1"/>
    <col min="3" max="3" width="24" customWidth="1"/>
  </cols>
  <sheetData>
    <row r="1" spans="1:3" ht="15.6" x14ac:dyDescent="0.3">
      <c r="A1" s="8" t="s">
        <v>75</v>
      </c>
    </row>
    <row r="3" spans="1:3" x14ac:dyDescent="0.3">
      <c r="A3" s="16" t="s">
        <v>2</v>
      </c>
      <c r="B3" s="16" t="s">
        <v>76</v>
      </c>
      <c r="C3" s="16" t="s">
        <v>77</v>
      </c>
    </row>
    <row r="4" spans="1:3" x14ac:dyDescent="0.3">
      <c r="A4" s="17" t="s">
        <v>7</v>
      </c>
      <c r="B4" s="18">
        <f>COUNTIF(البنود!$C$2:$C$49,A4)</f>
        <v>9</v>
      </c>
      <c r="C4" s="18">
        <f>COUNTIFS(البنود!$C$2:$C$49,A4,البنود!$G$2:$G$49,"نعم")</f>
        <v>3</v>
      </c>
    </row>
    <row r="5" spans="1:3" x14ac:dyDescent="0.3">
      <c r="A5" s="17" t="s">
        <v>18</v>
      </c>
      <c r="B5" s="18">
        <f>COUNTIF(البنود!$C$2:$C$49,A5)</f>
        <v>3</v>
      </c>
      <c r="C5" s="18">
        <f>COUNTIFS(البنود!$C$2:$C$49,A5,البنود!$G$2:$G$49,"نعم")</f>
        <v>1</v>
      </c>
    </row>
    <row r="6" spans="1:3" x14ac:dyDescent="0.3">
      <c r="A6" s="17" t="s">
        <v>26</v>
      </c>
      <c r="B6" s="18">
        <f>COUNTIF(البنود!$C$2:$C$49,A6)</f>
        <v>11</v>
      </c>
      <c r="C6" s="18">
        <f>COUNTIFS(البنود!$C$2:$C$49,A6,البنود!$G$2:$G$49,"نعم")</f>
        <v>1</v>
      </c>
    </row>
    <row r="7" spans="1:3" x14ac:dyDescent="0.3">
      <c r="A7" s="17" t="s">
        <v>37</v>
      </c>
      <c r="B7" s="18">
        <f>COUNTIF(البنود!$C$2:$C$49,A7)</f>
        <v>3</v>
      </c>
      <c r="C7" s="18">
        <f>COUNTIFS(البنود!$C$2:$C$49,A7,البنود!$G$2:$G$49,"نعم")</f>
        <v>0</v>
      </c>
    </row>
    <row r="8" spans="1:3" x14ac:dyDescent="0.3">
      <c r="A8" s="17" t="s">
        <v>41</v>
      </c>
      <c r="B8" s="18">
        <f>COUNTIF(البنود!$C$2:$C$49,A8)</f>
        <v>6</v>
      </c>
      <c r="C8" s="18">
        <f>COUNTIFS(البنود!$C$2:$C$49,A8,البنود!$G$2:$G$49,"نعم")</f>
        <v>3</v>
      </c>
    </row>
    <row r="9" spans="1:3" x14ac:dyDescent="0.3">
      <c r="A9" s="17" t="s">
        <v>47</v>
      </c>
      <c r="B9" s="18">
        <f>COUNTIF(البنود!$C$2:$C$49,A9)</f>
        <v>0</v>
      </c>
      <c r="C9" s="18">
        <f>COUNTIFS(البنود!$C$2:$C$49,A9,البنود!$G$2:$G$49,"نعم")</f>
        <v>0</v>
      </c>
    </row>
    <row r="10" spans="1:3" x14ac:dyDescent="0.3">
      <c r="A10" s="17" t="s">
        <v>48</v>
      </c>
      <c r="B10" s="18">
        <f>COUNTIF(البنود!$C$2:$C$49,A10)</f>
        <v>8</v>
      </c>
      <c r="C10" s="18">
        <f>COUNTIFS(البنود!$C$2:$C$49,A10,البنود!$G$2:$G$49,"نعم")</f>
        <v>2</v>
      </c>
    </row>
    <row r="11" spans="1:3" x14ac:dyDescent="0.3">
      <c r="A11" s="17" t="s">
        <v>54</v>
      </c>
      <c r="B11" s="18">
        <f>COUNTIF(البنود!$C$2:$C$49,A11)</f>
        <v>6</v>
      </c>
      <c r="C11" s="18">
        <f>COUNTIFS(البنود!$C$2:$C$49,A11,البنود!$G$2:$G$49,"نعم")</f>
        <v>1</v>
      </c>
    </row>
    <row r="12" spans="1:3" x14ac:dyDescent="0.3">
      <c r="A12" s="19" t="s">
        <v>78</v>
      </c>
      <c r="B12" s="20">
        <f>SUM(B4:B11)</f>
        <v>46</v>
      </c>
      <c r="C12" s="20">
        <f>SUM(C4:C11)</f>
        <v>11</v>
      </c>
    </row>
    <row r="14" spans="1:3" x14ac:dyDescent="0.3">
      <c r="A14" s="15"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البنود</vt:lpstr>
      <vt:lpstr>مثال نسب الإنجاز</vt:lpstr>
      <vt:lpstr>ملخص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asd</cp:lastModifiedBy>
  <dcterms:created xsi:type="dcterms:W3CDTF">2026-09-19T08:16:14Z</dcterms:created>
  <dcterms:modified xsi:type="dcterms:W3CDTF">2026-10-06T15:44:00Z</dcterms:modified>
</cp:coreProperties>
</file>