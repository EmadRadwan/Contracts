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Sheet1" sheetId="1" state="visible" r:id="rId1"/>
    <sheet name="Product_Im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\ &quot;m²&quot;"/>
  </numFmts>
  <fonts count="11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4"/>
    </font>
    <font>
      <name val="Century Gothic"/>
      <family val="2"/>
      <b val="1"/>
      <color theme="1"/>
      <sz val="18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b val="1"/>
      <color rgb="00FFFFFF"/>
      <sz val="12"/>
    </font>
    <font>
      <i val="1"/>
      <sz val="9"/>
    </font>
    <font>
      <i val="1"/>
      <color rgb="007F600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FEB9C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164" fontId="0" fillId="0" borderId="19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164" fontId="0" fillId="0" borderId="2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19" applyAlignment="1" pivotButton="0" quotePrefix="0" xfId="0">
      <alignment horizontal="center" vertical="center"/>
    </xf>
    <xf numFmtId="3" fontId="0" fillId="0" borderId="20" applyAlignment="1" pivotButton="0" quotePrefix="0" xfId="0">
      <alignment horizontal="center" vertical="center"/>
    </xf>
    <xf numFmtId="2" fontId="0" fillId="0" borderId="19" applyAlignment="1" pivotButton="0" quotePrefix="0" xfId="0">
      <alignment horizontal="center" vertical="center"/>
    </xf>
    <xf numFmtId="2" fontId="0" fillId="0" borderId="20" applyAlignment="1" pivotButton="0" quotePrefix="0" xfId="0">
      <alignment horizontal="center" vertical="center"/>
    </xf>
    <xf numFmtId="2" fontId="0" fillId="0" borderId="21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3" fontId="0" fillId="0" borderId="27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3" fontId="0" fillId="0" borderId="28" applyAlignment="1" pivotButton="0" quotePrefix="0" xfId="0">
      <alignment horizontal="center" vertical="center"/>
    </xf>
    <xf numFmtId="3" fontId="0" fillId="0" borderId="1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2" fontId="0" fillId="4" borderId="19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2" fontId="0" fillId="4" borderId="20" applyAlignment="1" pivotButton="0" quotePrefix="0" xfId="0">
      <alignment horizontal="center" vertical="center"/>
    </xf>
    <xf numFmtId="3" fontId="0" fillId="0" borderId="18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2" fontId="6" fillId="4" borderId="19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textRotation="90"/>
    </xf>
    <xf numFmtId="0" fontId="5" fillId="0" borderId="16" applyAlignment="1" pivotButton="0" quotePrefix="0" xfId="0">
      <alignment horizontal="center" vertical="center" textRotation="90"/>
    </xf>
    <xf numFmtId="0" fontId="5" fillId="0" borderId="17" applyAlignment="1" pivotButton="0" quotePrefix="0" xfId="0">
      <alignment horizontal="center" vertical="center" textRotation="90"/>
    </xf>
    <xf numFmtId="164" fontId="4" fillId="0" borderId="18" applyAlignment="1" pivotButton="0" quotePrefix="0" xfId="0">
      <alignment horizontal="center" vertical="center"/>
    </xf>
    <xf numFmtId="164" fontId="4" fillId="0" borderId="19" applyAlignment="1" pivotButton="0" quotePrefix="0" xfId="0">
      <alignment horizontal="center" vertical="center"/>
    </xf>
    <xf numFmtId="164" fontId="4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textRotation="90"/>
    </xf>
    <xf numFmtId="164" fontId="4" fillId="0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textRotation="90"/>
    </xf>
    <xf numFmtId="0" fontId="5" fillId="0" borderId="14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left" vertical="center"/>
    </xf>
    <xf numFmtId="0" fontId="2" fillId="2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3" pivotButton="0" quotePrefix="0" xfId="0"/>
    <xf numFmtId="0" fontId="1" fillId="3" borderId="3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4" fillId="0" borderId="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30" applyAlignment="1" pivotButton="0" quotePrefix="0" xfId="0">
      <alignment horizontal="center" vertical="center" textRotation="90"/>
    </xf>
    <xf numFmtId="0" fontId="5" fillId="0" borderId="31" applyAlignment="1" pivotButton="0" quotePrefix="0" xfId="0">
      <alignment horizontal="center" vertical="center" textRotation="90"/>
    </xf>
    <xf numFmtId="164" fontId="4" fillId="0" borderId="3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1" pivotButton="0" quotePrefix="0" xfId="0"/>
    <xf numFmtId="0" fontId="7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10" fillId="6" borderId="0" pivotButton="0" quotePrefix="0" xfId="0"/>
    <xf numFmtId="0" fontId="10" fillId="7" borderId="0" pivotButton="0" quotePrefix="0" xfId="0"/>
    <xf numFmtId="0" fontId="1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S59"/>
  <sheetViews>
    <sheetView tabSelected="1" topLeftCell="C3" zoomScale="90" zoomScaleNormal="90" workbookViewId="0">
      <selection activeCell="G20" sqref="G20"/>
    </sheetView>
  </sheetViews>
  <sheetFormatPr baseColWidth="8" defaultRowHeight="15"/>
  <cols>
    <col width="3.5703125" customWidth="1" style="1" min="1" max="1"/>
    <col width="11" bestFit="1" customWidth="1" style="1" min="2" max="2"/>
    <col width="15" bestFit="1" customWidth="1" style="1" min="3" max="3"/>
    <col width="10" bestFit="1" customWidth="1" style="1" min="4" max="4"/>
    <col hidden="1" width="13.85546875" customWidth="1" style="1" min="5" max="5"/>
    <col width="15.28515625" bestFit="1" customWidth="1" style="1" min="6" max="6"/>
    <col width="15.7109375" customWidth="1" style="1" min="7" max="7"/>
    <col width="13.140625" customWidth="1" style="1" min="8" max="8"/>
    <col width="13" customWidth="1" style="1" min="9" max="9"/>
    <col width="18" customWidth="1" style="1" min="10" max="10"/>
    <col width="12.5703125" customWidth="1" style="1" min="11" max="11"/>
    <col width="11.42578125" customWidth="1" style="1" min="12" max="12"/>
    <col width="20.28515625" customWidth="1" style="1" min="13" max="13"/>
    <col width="22.42578125" customWidth="1" style="1" min="14" max="14"/>
    <col width="18" customWidth="1" style="1" min="15" max="15"/>
    <col width="35.42578125" customWidth="1" style="1" min="16" max="16"/>
    <col width="6.5703125" customWidth="1" style="1" min="17" max="17"/>
    <col width="9.140625" customWidth="1" style="1" min="18" max="16384"/>
  </cols>
  <sheetData>
    <row r="3" ht="15.75" customHeight="1" thickBot="1"/>
    <row r="4" ht="14.45" customHeight="1" thickTop="1">
      <c r="B4" s="64" t="inlineStr">
        <is>
          <t>SAWA Residential Compound Inventory</t>
        </is>
      </c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6" t="n"/>
    </row>
    <row r="5" ht="14.45" customHeight="1">
      <c r="B5" s="67" t="n"/>
      <c r="Q5" s="68" t="n"/>
    </row>
    <row r="6" ht="14.45" customHeight="1" thickBot="1">
      <c r="B6" s="69" t="n"/>
      <c r="C6" s="70" t="n"/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1" t="n"/>
    </row>
    <row r="7">
      <c r="B7" s="72" t="inlineStr">
        <is>
          <t>Block A</t>
        </is>
      </c>
      <c r="C7" s="73" t="n"/>
      <c r="D7" s="73" t="n"/>
      <c r="E7" s="73" t="n"/>
      <c r="F7" s="73" t="n"/>
      <c r="G7" s="73" t="n"/>
      <c r="H7" s="73" t="n"/>
      <c r="I7" s="74" t="n"/>
      <c r="J7" s="12" t="n"/>
      <c r="K7" s="13" t="n"/>
      <c r="L7" s="13" t="n"/>
      <c r="M7" s="13" t="n"/>
      <c r="N7" s="13" t="n"/>
      <c r="O7" s="13" t="n"/>
      <c r="P7" s="13" t="n"/>
    </row>
    <row r="8" ht="15.75" customHeight="1" thickBot="1">
      <c r="B8" s="69" t="n"/>
      <c r="C8" s="70" t="n"/>
      <c r="D8" s="70" t="n"/>
      <c r="E8" s="70" t="n"/>
      <c r="F8" s="70" t="n"/>
      <c r="G8" s="70" t="n"/>
      <c r="H8" s="70" t="n"/>
      <c r="I8" s="71" t="n"/>
      <c r="J8" s="12" t="n"/>
      <c r="K8" s="13" t="n"/>
      <c r="L8" s="13" t="n"/>
      <c r="M8" s="13" t="n"/>
      <c r="N8" s="13" t="n"/>
      <c r="O8" s="13" t="n"/>
      <c r="P8" s="13" t="n"/>
    </row>
    <row r="9" ht="16.5" customHeight="1" thickBot="1">
      <c r="B9" s="2" t="inlineStr">
        <is>
          <t>Floor Level</t>
        </is>
      </c>
      <c r="C9" s="4" t="inlineStr">
        <is>
          <t>Floor Area (m²)</t>
        </is>
      </c>
      <c r="D9" s="4" t="inlineStr">
        <is>
          <t>Unit Code</t>
        </is>
      </c>
      <c r="E9" s="4" t="inlineStr">
        <is>
          <t>Net Area (m²)</t>
        </is>
      </c>
      <c r="F9" s="4" t="inlineStr">
        <is>
          <t>Gross Area (m²)</t>
        </is>
      </c>
      <c r="G9" s="63" t="inlineStr">
        <is>
          <t>Garden Area AVG (m²)</t>
        </is>
      </c>
      <c r="H9" s="4" t="inlineStr">
        <is>
          <t>No. Of Bedrooms</t>
        </is>
      </c>
      <c r="I9" s="3" t="inlineStr">
        <is>
          <t>No. Of Toilets</t>
        </is>
      </c>
      <c r="J9" s="22" t="inlineStr">
        <is>
          <t xml:space="preserve">Price Per Meter </t>
        </is>
      </c>
      <c r="K9" s="21" t="inlineStr">
        <is>
          <t>adv.  L</t>
        </is>
      </c>
      <c r="L9" s="21" t="inlineStr">
        <is>
          <t>adv. Fr</t>
        </is>
      </c>
      <c r="M9" s="21" t="inlineStr">
        <is>
          <t>Price After Adv.</t>
        </is>
      </c>
      <c r="N9" s="21" t="inlineStr">
        <is>
          <t xml:space="preserve">meter after discount </t>
        </is>
      </c>
      <c r="O9" s="21" t="inlineStr">
        <is>
          <t xml:space="preserve">TOTAL PRICE </t>
        </is>
      </c>
      <c r="P9" s="23" t="inlineStr">
        <is>
          <t>TOTAL PRICE AFTER DISCOUNT  10%</t>
        </is>
      </c>
    </row>
    <row r="10">
      <c r="B10" s="62" t="inlineStr">
        <is>
          <t>Ground Floor</t>
        </is>
      </c>
      <c r="C10" s="75" t="n">
        <v>957.85</v>
      </c>
      <c r="D10" s="5" t="inlineStr">
        <is>
          <t>Apt-001</t>
        </is>
      </c>
      <c r="E10" s="16" t="n">
        <v>57.2</v>
      </c>
      <c r="F10" s="16">
        <f>E10*1.335</f>
        <v/>
      </c>
      <c r="G10" s="16" t="n">
        <v>23.56</v>
      </c>
      <c r="H10" s="5" t="n">
        <v>1</v>
      </c>
      <c r="I10" s="1" t="n">
        <v>1</v>
      </c>
      <c r="J10" s="25" t="n">
        <v>42000</v>
      </c>
      <c r="K10" s="26" t="n">
        <v>800</v>
      </c>
      <c r="L10" s="26" t="n">
        <v>700</v>
      </c>
      <c r="M10" s="26">
        <f>J10+K10+L10</f>
        <v/>
      </c>
      <c r="N10" s="26">
        <f>M10*0.95</f>
        <v/>
      </c>
      <c r="O10" s="26">
        <f>((F10+(G10/3))*M10)</f>
        <v/>
      </c>
      <c r="P10" s="34">
        <f>O10*0.9</f>
        <v/>
      </c>
      <c r="Q10" s="20" t="n">
        <v>0.1</v>
      </c>
    </row>
    <row r="11">
      <c r="B11" s="67" t="n"/>
      <c r="C11" s="76" t="n"/>
      <c r="D11" s="5" t="inlineStr">
        <is>
          <t>Apt-002</t>
        </is>
      </c>
      <c r="E11" s="16" t="n">
        <v>121.81</v>
      </c>
      <c r="F11" s="16">
        <f>E11*1.335</f>
        <v/>
      </c>
      <c r="G11" s="16" t="n">
        <v>43.63</v>
      </c>
      <c r="H11" s="5" t="n">
        <v>3</v>
      </c>
      <c r="I11" s="1" t="n">
        <v>3</v>
      </c>
      <c r="J11" s="12" t="n">
        <v>35800</v>
      </c>
      <c r="K11" s="13" t="n">
        <v>800</v>
      </c>
      <c r="L11" s="13" t="n">
        <v>700</v>
      </c>
      <c r="M11" s="13">
        <f>J11+K11+L11</f>
        <v/>
      </c>
      <c r="N11" s="13">
        <f>M11*0.95</f>
        <v/>
      </c>
      <c r="O11" s="13">
        <f>((F11+(G11/3))*M11)</f>
        <v/>
      </c>
      <c r="P11" s="14">
        <f>O11*0.9</f>
        <v/>
      </c>
    </row>
    <row r="12">
      <c r="B12" s="67" t="n"/>
      <c r="C12" s="76" t="n"/>
      <c r="D12" s="5" t="inlineStr">
        <is>
          <t>Apt-003</t>
        </is>
      </c>
      <c r="E12" s="16" t="n">
        <v>121.81</v>
      </c>
      <c r="F12" s="16">
        <f>E12*1.335</f>
        <v/>
      </c>
      <c r="G12" s="16" t="n">
        <v>80.83</v>
      </c>
      <c r="H12" s="5" t="n">
        <v>3</v>
      </c>
      <c r="I12" s="1" t="n">
        <v>3</v>
      </c>
      <c r="J12" s="12" t="n">
        <v>35800</v>
      </c>
      <c r="K12" s="13" t="n">
        <v>800</v>
      </c>
      <c r="L12" s="13" t="n">
        <v>0</v>
      </c>
      <c r="M12" s="13">
        <f>J12+K12+L12</f>
        <v/>
      </c>
      <c r="N12" s="13">
        <f>M12*0.95</f>
        <v/>
      </c>
      <c r="O12" s="13">
        <f>((F12+(G12/3))*M12)</f>
        <v/>
      </c>
      <c r="P12" s="14">
        <f>O12*0.9</f>
        <v/>
      </c>
    </row>
    <row r="13">
      <c r="B13" s="67" t="n"/>
      <c r="C13" s="76" t="n"/>
      <c r="D13" s="5" t="inlineStr">
        <is>
          <t>Apt-004</t>
        </is>
      </c>
      <c r="E13" s="16" t="n">
        <v>88.69</v>
      </c>
      <c r="F13" s="16">
        <f>E13*1.335</f>
        <v/>
      </c>
      <c r="G13" s="16" t="n">
        <v>67.09999999999999</v>
      </c>
      <c r="H13" s="5" t="n">
        <v>2</v>
      </c>
      <c r="I13" s="1" t="n">
        <v>2</v>
      </c>
      <c r="J13" s="12" t="n">
        <v>38500</v>
      </c>
      <c r="K13" s="13" t="n">
        <v>800</v>
      </c>
      <c r="L13" s="13" t="n">
        <v>0</v>
      </c>
      <c r="M13" s="13">
        <f>J13+K13+L13</f>
        <v/>
      </c>
      <c r="N13" s="13">
        <f>M13*0.95</f>
        <v/>
      </c>
      <c r="O13" s="13">
        <f>((F13+(G13/3))*M13)</f>
        <v/>
      </c>
      <c r="P13" s="14">
        <f>O13*0.9</f>
        <v/>
      </c>
    </row>
    <row r="14">
      <c r="B14" s="67" t="n"/>
      <c r="C14" s="76" t="n"/>
      <c r="D14" s="5" t="inlineStr">
        <is>
          <t>Apt-005</t>
        </is>
      </c>
      <c r="E14" s="16" t="n">
        <v>91.23</v>
      </c>
      <c r="F14" s="16">
        <f>E14*1.335</f>
        <v/>
      </c>
      <c r="G14" s="16" t="n">
        <v>67.09999999999999</v>
      </c>
      <c r="H14" s="5" t="n">
        <v>2</v>
      </c>
      <c r="I14" s="1" t="n">
        <v>2</v>
      </c>
      <c r="J14" s="12" t="n">
        <v>38500</v>
      </c>
      <c r="K14" s="13" t="n">
        <v>800</v>
      </c>
      <c r="L14" s="13" t="n">
        <v>0</v>
      </c>
      <c r="M14" s="13">
        <f>J14+K14+L14</f>
        <v/>
      </c>
      <c r="N14" s="13">
        <f>M14*0.95</f>
        <v/>
      </c>
      <c r="O14" s="13">
        <f>((F14+(G14/3))*M14)</f>
        <v/>
      </c>
      <c r="P14" s="14">
        <f>O14*0.9</f>
        <v/>
      </c>
    </row>
    <row r="15">
      <c r="B15" s="67" t="n"/>
      <c r="C15" s="76" t="n"/>
      <c r="D15" s="5" t="inlineStr">
        <is>
          <t>Apt-006</t>
        </is>
      </c>
      <c r="E15" s="16" t="n">
        <v>121.81</v>
      </c>
      <c r="F15" s="16">
        <f>E15*1.335</f>
        <v/>
      </c>
      <c r="G15" s="16" t="n">
        <v>80.83</v>
      </c>
      <c r="H15" s="5" t="n">
        <v>3</v>
      </c>
      <c r="I15" s="1" t="n">
        <v>3</v>
      </c>
      <c r="J15" s="12" t="n">
        <v>35800</v>
      </c>
      <c r="K15" s="13" t="n">
        <v>800</v>
      </c>
      <c r="L15" s="13" t="n">
        <v>200</v>
      </c>
      <c r="M15" s="13">
        <f>J15+K15+L15</f>
        <v/>
      </c>
      <c r="N15" s="13">
        <f>M15*0.95</f>
        <v/>
      </c>
      <c r="O15" s="13">
        <f>((F15+(G15/3))*M15)</f>
        <v/>
      </c>
      <c r="P15" s="14">
        <f>O15*0.9</f>
        <v/>
      </c>
    </row>
    <row r="16">
      <c r="B16" s="67" t="n"/>
      <c r="C16" s="76" t="n"/>
      <c r="D16" s="30" t="inlineStr">
        <is>
          <t>Apt-007</t>
        </is>
      </c>
      <c r="E16" s="31" t="n">
        <v>121.81</v>
      </c>
      <c r="F16" s="31">
        <f>E16*1.335</f>
        <v/>
      </c>
      <c r="G16" s="16" t="n">
        <v>43.63</v>
      </c>
      <c r="H16" s="5" t="n">
        <v>3</v>
      </c>
      <c r="I16" s="1" t="n">
        <v>3</v>
      </c>
      <c r="J16" s="12" t="n">
        <v>35800</v>
      </c>
      <c r="K16" s="13" t="n">
        <v>800</v>
      </c>
      <c r="L16" s="13" t="n">
        <v>700</v>
      </c>
      <c r="M16" s="13">
        <f>J16+K16+L16</f>
        <v/>
      </c>
      <c r="N16" s="13">
        <f>M16*0.95</f>
        <v/>
      </c>
      <c r="O16" s="13">
        <f>((F16+(G16/3))*M16)</f>
        <v/>
      </c>
      <c r="P16" s="14">
        <f>O16*0.9</f>
        <v/>
      </c>
      <c r="R16" s="1" t="inlineStr">
        <is>
          <t>Hamdy</t>
        </is>
      </c>
      <c r="S16" s="1" t="inlineStr">
        <is>
          <t>Hamdy</t>
        </is>
      </c>
    </row>
    <row r="17" ht="15.75" customHeight="1" thickBot="1">
      <c r="B17" s="69" t="n"/>
      <c r="C17" s="77" t="n"/>
      <c r="D17" s="32" t="inlineStr">
        <is>
          <t>Apt-008</t>
        </is>
      </c>
      <c r="E17" s="33" t="n">
        <v>96.11</v>
      </c>
      <c r="F17" s="33">
        <f>E17*1.335</f>
        <v/>
      </c>
      <c r="G17" s="17" t="n">
        <v>34.41</v>
      </c>
      <c r="H17" s="6" t="n">
        <v>2</v>
      </c>
      <c r="I17" s="24" t="n">
        <v>2</v>
      </c>
      <c r="J17" s="12" t="n">
        <v>38500</v>
      </c>
      <c r="K17" s="13" t="n">
        <v>800</v>
      </c>
      <c r="L17" s="13" t="n">
        <v>700</v>
      </c>
      <c r="M17" s="13">
        <f>J17+K17+L17</f>
        <v/>
      </c>
      <c r="N17" s="13">
        <f>M17*0.95</f>
        <v/>
      </c>
      <c r="O17" s="13">
        <f>((F17+(G17/3))*M17)</f>
        <v/>
      </c>
      <c r="P17" s="15">
        <f>O17*0.9</f>
        <v/>
      </c>
      <c r="R17" s="1" t="inlineStr">
        <is>
          <t>hamdy</t>
        </is>
      </c>
      <c r="S17" s="1" t="inlineStr">
        <is>
          <t>hamdy</t>
        </is>
      </c>
    </row>
    <row r="18">
      <c r="B18" s="62" t="inlineStr">
        <is>
          <t>First Floor</t>
        </is>
      </c>
      <c r="C18" s="42" t="n">
        <v>1018.25</v>
      </c>
      <c r="D18" s="5" t="inlineStr">
        <is>
          <t>Apt-101</t>
        </is>
      </c>
      <c r="E18" s="16" t="n">
        <v>103.95</v>
      </c>
      <c r="F18" s="16">
        <f>E18*1.335</f>
        <v/>
      </c>
      <c r="G18" s="7" t="n">
        <v>0</v>
      </c>
      <c r="H18" s="5" t="n">
        <v>2</v>
      </c>
      <c r="I18" s="1" t="n">
        <v>2</v>
      </c>
      <c r="J18" s="25" t="n">
        <v>38500</v>
      </c>
      <c r="K18" s="26" t="n">
        <v>400</v>
      </c>
      <c r="L18" s="26" t="n">
        <v>700</v>
      </c>
      <c r="M18" s="26">
        <f>J18+K18+L18</f>
        <v/>
      </c>
      <c r="N18" s="26">
        <f>M18*0.95</f>
        <v/>
      </c>
      <c r="O18" s="26">
        <f>((F18+(G18/3))*M18)</f>
        <v/>
      </c>
      <c r="P18" s="34">
        <f>O18*0.9</f>
        <v/>
      </c>
    </row>
    <row r="19">
      <c r="B19" s="67" t="n"/>
      <c r="C19" s="76" t="n"/>
      <c r="D19" s="30" t="inlineStr">
        <is>
          <t>Apt-102</t>
        </is>
      </c>
      <c r="E19" s="31" t="n">
        <v>129.57</v>
      </c>
      <c r="F19" s="31">
        <f>E19*1.335</f>
        <v/>
      </c>
      <c r="G19" s="7" t="n">
        <v>0</v>
      </c>
      <c r="H19" s="5" t="n">
        <v>3</v>
      </c>
      <c r="I19" s="1" t="n">
        <v>3</v>
      </c>
      <c r="J19" s="12" t="n">
        <v>35800</v>
      </c>
      <c r="K19" s="13" t="n">
        <v>400</v>
      </c>
      <c r="L19" s="13" t="n">
        <v>700</v>
      </c>
      <c r="M19" s="13">
        <f>J19+K19+L19</f>
        <v/>
      </c>
      <c r="N19" s="13">
        <f>M19*0.95</f>
        <v/>
      </c>
      <c r="O19" s="13">
        <f>((F19+(G19/3))*M19)</f>
        <v/>
      </c>
      <c r="P19" s="14">
        <f>O19*0.9</f>
        <v/>
      </c>
      <c r="R19" s="1" t="inlineStr">
        <is>
          <t xml:space="preserve">berhan </t>
        </is>
      </c>
      <c r="S19" s="1" t="inlineStr">
        <is>
          <t>eman</t>
        </is>
      </c>
    </row>
    <row r="20">
      <c r="B20" s="67" t="n"/>
      <c r="C20" s="76" t="n"/>
      <c r="D20" s="30" t="inlineStr">
        <is>
          <t>Apt-103</t>
        </is>
      </c>
      <c r="E20" s="31" t="n">
        <v>129.57</v>
      </c>
      <c r="F20" s="31">
        <f>E20*1.335</f>
        <v/>
      </c>
      <c r="G20" s="7" t="n">
        <v>0</v>
      </c>
      <c r="H20" s="5" t="n">
        <v>3</v>
      </c>
      <c r="I20" s="1" t="n">
        <v>3</v>
      </c>
      <c r="J20" s="12" t="n">
        <v>35800</v>
      </c>
      <c r="K20" s="13" t="n">
        <v>400</v>
      </c>
      <c r="L20" s="13" t="n">
        <v>0</v>
      </c>
      <c r="M20" s="13">
        <f>J20+K20+L20</f>
        <v/>
      </c>
      <c r="N20" s="13">
        <f>M20*0.95</f>
        <v/>
      </c>
      <c r="O20" s="13">
        <f>((F20+(G20/3))*M20)</f>
        <v/>
      </c>
      <c r="P20" s="14">
        <f>O20*0.9</f>
        <v/>
      </c>
      <c r="R20" s="1" t="inlineStr">
        <is>
          <t>hamdy</t>
        </is>
      </c>
    </row>
    <row r="21">
      <c r="B21" s="67" t="n"/>
      <c r="C21" s="76" t="n"/>
      <c r="D21" s="30" t="inlineStr">
        <is>
          <t>Apt-104</t>
        </is>
      </c>
      <c r="E21" s="31" t="n">
        <v>94.5</v>
      </c>
      <c r="F21" s="31">
        <f>E21*1.335</f>
        <v/>
      </c>
      <c r="G21" s="7" t="n">
        <v>0</v>
      </c>
      <c r="H21" s="5" t="n">
        <v>2</v>
      </c>
      <c r="I21" s="1" t="n">
        <v>2</v>
      </c>
      <c r="J21" s="12" t="n">
        <v>38500</v>
      </c>
      <c r="K21" s="13" t="n">
        <v>400</v>
      </c>
      <c r="L21" s="13" t="n">
        <v>0</v>
      </c>
      <c r="M21" s="13">
        <f>J21+K21+L21</f>
        <v/>
      </c>
      <c r="N21" s="13">
        <f>M21*0.95</f>
        <v/>
      </c>
      <c r="O21" s="13">
        <f>((F21+(G21/3))*M21)</f>
        <v/>
      </c>
      <c r="P21" s="14">
        <f>O21*0.9</f>
        <v/>
      </c>
      <c r="R21" s="1" t="inlineStr">
        <is>
          <t>hamdy</t>
        </is>
      </c>
    </row>
    <row r="22">
      <c r="B22" s="67" t="n"/>
      <c r="C22" s="76" t="n"/>
      <c r="D22" s="5" t="inlineStr">
        <is>
          <t>Apt-105</t>
        </is>
      </c>
      <c r="E22" s="16" t="n">
        <v>97.05</v>
      </c>
      <c r="F22" s="16">
        <f>E22*1.335</f>
        <v/>
      </c>
      <c r="G22" s="7" t="n">
        <v>0</v>
      </c>
      <c r="H22" s="5" t="n">
        <v>2</v>
      </c>
      <c r="I22" s="1" t="n">
        <v>2</v>
      </c>
      <c r="J22" s="12" t="n">
        <v>38500</v>
      </c>
      <c r="K22" s="13" t="n">
        <v>400</v>
      </c>
      <c r="L22" s="13" t="n">
        <v>0</v>
      </c>
      <c r="M22" s="13">
        <f>J22+K22+L22</f>
        <v/>
      </c>
      <c r="N22" s="13">
        <f>M22*0.95</f>
        <v/>
      </c>
      <c r="O22" s="13">
        <f>((F22+(G22/3))*M22)</f>
        <v/>
      </c>
      <c r="P22" s="14">
        <f>O22*0.9</f>
        <v/>
      </c>
    </row>
    <row r="23">
      <c r="B23" s="67" t="n"/>
      <c r="C23" s="76" t="n"/>
      <c r="D23" s="5" t="inlineStr">
        <is>
          <t>Apt-106</t>
        </is>
      </c>
      <c r="E23" s="16" t="n">
        <v>129.57</v>
      </c>
      <c r="F23" s="16">
        <f>E23*1.335</f>
        <v/>
      </c>
      <c r="G23" s="7" t="n">
        <v>0</v>
      </c>
      <c r="H23" s="5" t="n">
        <v>3</v>
      </c>
      <c r="I23" s="1" t="n">
        <v>3</v>
      </c>
      <c r="J23" s="12" t="n">
        <v>35800</v>
      </c>
      <c r="K23" s="13" t="n">
        <v>400</v>
      </c>
      <c r="L23" s="13" t="n">
        <v>200</v>
      </c>
      <c r="M23" s="13">
        <f>J23+K23+L23</f>
        <v/>
      </c>
      <c r="N23" s="13">
        <f>M23*0.95</f>
        <v/>
      </c>
      <c r="O23" s="13">
        <f>((F23+(G23/3))*M23)</f>
        <v/>
      </c>
      <c r="P23" s="14">
        <f>O23*0.9</f>
        <v/>
      </c>
    </row>
    <row r="24">
      <c r="B24" s="67" t="n"/>
      <c r="C24" s="76" t="n"/>
      <c r="D24" s="30" t="inlineStr">
        <is>
          <t>Apt-107</t>
        </is>
      </c>
      <c r="E24" s="31" t="n">
        <v>129.57</v>
      </c>
      <c r="F24" s="31">
        <f>E24*1.335</f>
        <v/>
      </c>
      <c r="G24" s="7" t="n">
        <v>0</v>
      </c>
      <c r="H24" s="5" t="n">
        <v>3</v>
      </c>
      <c r="I24" s="1" t="n">
        <v>3</v>
      </c>
      <c r="J24" s="12" t="n">
        <v>35800</v>
      </c>
      <c r="K24" s="13" t="n">
        <v>400</v>
      </c>
      <c r="L24" s="13" t="n">
        <v>700</v>
      </c>
      <c r="M24" s="13">
        <f>J24+K24+L24</f>
        <v/>
      </c>
      <c r="N24" s="13">
        <f>M24*0.95</f>
        <v/>
      </c>
      <c r="O24" s="13">
        <f>((F24+(G24/3))*M24)</f>
        <v/>
      </c>
      <c r="P24" s="14">
        <f>O24*0.9</f>
        <v/>
      </c>
      <c r="R24" s="1" t="inlineStr">
        <is>
          <t xml:space="preserve">ebrahim </t>
        </is>
      </c>
      <c r="S24" s="1" t="inlineStr">
        <is>
          <t xml:space="preserve">r ayman </t>
        </is>
      </c>
    </row>
    <row r="25" ht="15.75" customHeight="1" thickBot="1">
      <c r="B25" s="69" t="n"/>
      <c r="C25" s="77" t="n"/>
      <c r="D25" s="6" t="inlineStr">
        <is>
          <t>Apt-108</t>
        </is>
      </c>
      <c r="E25" s="17" t="n">
        <v>103.95</v>
      </c>
      <c r="F25" s="17">
        <f>E25*1.335</f>
        <v/>
      </c>
      <c r="G25" s="8" t="n">
        <v>0</v>
      </c>
      <c r="H25" s="6" t="n">
        <v>2</v>
      </c>
      <c r="I25" s="24" t="n">
        <v>2</v>
      </c>
      <c r="J25" s="27" t="n">
        <v>38500</v>
      </c>
      <c r="K25" s="28" t="n">
        <v>400</v>
      </c>
      <c r="L25" s="28" t="n">
        <v>700</v>
      </c>
      <c r="M25" s="28">
        <f>J25+K25+L25</f>
        <v/>
      </c>
      <c r="N25" s="28">
        <f>M25*0.95</f>
        <v/>
      </c>
      <c r="O25" s="28">
        <f>((F25+(G25/3))*M25)</f>
        <v/>
      </c>
      <c r="P25" s="15">
        <f>O25*0.9</f>
        <v/>
      </c>
    </row>
    <row r="26">
      <c r="B26" s="39" t="inlineStr">
        <is>
          <t>Second Floor</t>
        </is>
      </c>
      <c r="C26" s="42" t="n">
        <v>1018.25</v>
      </c>
      <c r="D26" s="30" t="inlineStr">
        <is>
          <t>Apt-201</t>
        </is>
      </c>
      <c r="E26" s="31" t="n">
        <v>103.95</v>
      </c>
      <c r="F26" s="31">
        <f>E26*1.335</f>
        <v/>
      </c>
      <c r="G26" s="7" t="n">
        <v>0</v>
      </c>
      <c r="H26" s="5" t="n">
        <v>2</v>
      </c>
      <c r="I26" s="1" t="n">
        <v>2</v>
      </c>
      <c r="J26" s="12" t="n">
        <v>38500</v>
      </c>
      <c r="K26" s="13">
        <f>K14</f>
        <v/>
      </c>
      <c r="L26" s="13" t="n">
        <v>700</v>
      </c>
      <c r="M26" s="13">
        <f>J26+K26+L26</f>
        <v/>
      </c>
      <c r="N26" s="13">
        <f>M26*0.95</f>
        <v/>
      </c>
      <c r="O26" s="13">
        <f>((F26+(G26/3))*M26)</f>
        <v/>
      </c>
      <c r="P26" s="34">
        <f>O26*0.9</f>
        <v/>
      </c>
      <c r="R26" s="1" t="inlineStr">
        <is>
          <t xml:space="preserve">e5las </t>
        </is>
      </c>
      <c r="S26" s="1" t="inlineStr">
        <is>
          <t>r ayman</t>
        </is>
      </c>
    </row>
    <row r="27">
      <c r="B27" s="78" t="n"/>
      <c r="C27" s="76" t="n"/>
      <c r="D27" s="30" t="inlineStr">
        <is>
          <t>Apt-202</t>
        </is>
      </c>
      <c r="E27" s="31" t="n">
        <v>129.57</v>
      </c>
      <c r="F27" s="31">
        <f>E27*1.335</f>
        <v/>
      </c>
      <c r="G27" s="7" t="n">
        <v>0</v>
      </c>
      <c r="H27" s="5" t="n">
        <v>3</v>
      </c>
      <c r="I27" s="1" t="n">
        <v>3</v>
      </c>
      <c r="J27" s="12" t="n">
        <v>35800</v>
      </c>
      <c r="K27" s="13">
        <f>K15</f>
        <v/>
      </c>
      <c r="L27" s="13" t="n">
        <v>700</v>
      </c>
      <c r="M27" s="13">
        <f>J27+K27+L27</f>
        <v/>
      </c>
      <c r="N27" s="13">
        <f>M27*0.95</f>
        <v/>
      </c>
      <c r="O27" s="13">
        <f>((F27+(G27/3))*M27)</f>
        <v/>
      </c>
      <c r="P27" s="14">
        <f>O27*0.9</f>
        <v/>
      </c>
      <c r="R27" s="1" t="inlineStr">
        <is>
          <t>m farag</t>
        </is>
      </c>
      <c r="S27" s="1" t="inlineStr">
        <is>
          <t>ghandour</t>
        </is>
      </c>
    </row>
    <row r="28">
      <c r="B28" s="78" t="n"/>
      <c r="C28" s="76" t="n"/>
      <c r="D28" s="5" t="inlineStr">
        <is>
          <t>Apt-203</t>
        </is>
      </c>
      <c r="E28" s="16" t="n">
        <v>129.57</v>
      </c>
      <c r="F28" s="16">
        <f>E28*1.335</f>
        <v/>
      </c>
      <c r="G28" s="7" t="n">
        <v>0</v>
      </c>
      <c r="H28" s="5" t="n">
        <v>3</v>
      </c>
      <c r="I28" s="1" t="n">
        <v>3</v>
      </c>
      <c r="J28" s="12" t="n">
        <v>35800</v>
      </c>
      <c r="K28" s="13">
        <f>K16</f>
        <v/>
      </c>
      <c r="L28" s="13" t="n">
        <v>0</v>
      </c>
      <c r="M28" s="13">
        <f>J28+K28+L28</f>
        <v/>
      </c>
      <c r="N28" s="13">
        <f>M28*0.95</f>
        <v/>
      </c>
      <c r="O28" s="13">
        <f>((F28+(G28/3))*M28)</f>
        <v/>
      </c>
      <c r="P28" s="14">
        <f>O28*0.9</f>
        <v/>
      </c>
    </row>
    <row r="29">
      <c r="B29" s="78" t="n"/>
      <c r="C29" s="76" t="n"/>
      <c r="D29" s="30" t="inlineStr">
        <is>
          <t>Apt-204</t>
        </is>
      </c>
      <c r="E29" s="31" t="n">
        <v>94.5</v>
      </c>
      <c r="F29" s="31">
        <f>E29*1.335</f>
        <v/>
      </c>
      <c r="G29" s="7" t="n">
        <v>0</v>
      </c>
      <c r="H29" s="5" t="n">
        <v>2</v>
      </c>
      <c r="I29" s="1" t="n">
        <v>2</v>
      </c>
      <c r="J29" s="12" t="n">
        <v>38500</v>
      </c>
      <c r="K29" s="13" t="n">
        <v>800</v>
      </c>
      <c r="L29" s="13" t="n">
        <v>0</v>
      </c>
      <c r="M29" s="13">
        <f>J29+K29+L29</f>
        <v/>
      </c>
      <c r="N29" s="13">
        <f>M29*0.95</f>
        <v/>
      </c>
      <c r="O29" s="13">
        <f>((F29+(G29/3))*M29)</f>
        <v/>
      </c>
      <c r="P29" s="14">
        <f>O29*0.9</f>
        <v/>
      </c>
      <c r="R29" s="1" t="inlineStr">
        <is>
          <t>hamdy</t>
        </is>
      </c>
    </row>
    <row r="30">
      <c r="B30" s="78" t="n"/>
      <c r="C30" s="76" t="n"/>
      <c r="D30" s="30" t="inlineStr">
        <is>
          <t>Apt-205</t>
        </is>
      </c>
      <c r="E30" s="31" t="n">
        <v>97.05</v>
      </c>
      <c r="F30" s="31">
        <f>E30*1.335</f>
        <v/>
      </c>
      <c r="G30" s="7" t="n">
        <v>0</v>
      </c>
      <c r="H30" s="5" t="n">
        <v>2</v>
      </c>
      <c r="I30" s="1" t="n">
        <v>2</v>
      </c>
      <c r="J30" s="12" t="n">
        <v>38500</v>
      </c>
      <c r="K30" s="13" t="n">
        <v>800</v>
      </c>
      <c r="L30" s="13" t="n">
        <v>0</v>
      </c>
      <c r="M30" s="13">
        <f>J30+K30+L30</f>
        <v/>
      </c>
      <c r="N30" s="13">
        <f>M30*0.95</f>
        <v/>
      </c>
      <c r="O30" s="13">
        <f>((F30+(G30/3))*M30)</f>
        <v/>
      </c>
      <c r="P30" s="14">
        <f>O30*0.9</f>
        <v/>
      </c>
      <c r="R30" s="1" t="inlineStr">
        <is>
          <t>ali</t>
        </is>
      </c>
      <c r="S30" s="1" t="inlineStr">
        <is>
          <t>eng mahmoud</t>
        </is>
      </c>
    </row>
    <row r="31">
      <c r="B31" s="78" t="n"/>
      <c r="C31" s="76" t="n"/>
      <c r="D31" s="5" t="inlineStr">
        <is>
          <t>Apt-206</t>
        </is>
      </c>
      <c r="E31" s="16" t="n">
        <v>129.57</v>
      </c>
      <c r="F31" s="16">
        <f>E31*1.335</f>
        <v/>
      </c>
      <c r="G31" s="7" t="n">
        <v>0</v>
      </c>
      <c r="H31" s="5" t="n">
        <v>3</v>
      </c>
      <c r="I31" s="1" t="n">
        <v>3</v>
      </c>
      <c r="J31" s="12" t="n">
        <v>35800</v>
      </c>
      <c r="K31" s="13" t="n">
        <v>800</v>
      </c>
      <c r="L31" s="13" t="n">
        <v>200</v>
      </c>
      <c r="M31" s="13">
        <f>J31+K31+L31</f>
        <v/>
      </c>
      <c r="N31" s="13">
        <f>M31*0.95</f>
        <v/>
      </c>
      <c r="O31" s="13">
        <f>((F31+(G31/3))*M31)</f>
        <v/>
      </c>
      <c r="P31" s="14">
        <f>O31*0.9</f>
        <v/>
      </c>
    </row>
    <row r="32">
      <c r="B32" s="78" t="n"/>
      <c r="C32" s="76" t="n"/>
      <c r="D32" s="30" t="inlineStr">
        <is>
          <t>Apt-207</t>
        </is>
      </c>
      <c r="E32" s="31" t="n">
        <v>129.57</v>
      </c>
      <c r="F32" s="31">
        <f>E32*1.335</f>
        <v/>
      </c>
      <c r="G32" s="7" t="n">
        <v>0</v>
      </c>
      <c r="H32" s="5" t="n">
        <v>3</v>
      </c>
      <c r="I32" s="1" t="n">
        <v>3</v>
      </c>
      <c r="J32" s="12" t="n">
        <v>35800</v>
      </c>
      <c r="K32" s="13" t="n">
        <v>800</v>
      </c>
      <c r="L32" s="13" t="n">
        <v>700</v>
      </c>
      <c r="M32" s="13">
        <f>J32+K32+L32</f>
        <v/>
      </c>
      <c r="N32" s="13">
        <f>M32*0.95</f>
        <v/>
      </c>
      <c r="O32" s="13">
        <f>((F32+(G32/3))*M32)</f>
        <v/>
      </c>
      <c r="P32" s="14">
        <f>O32*0.9</f>
        <v/>
      </c>
      <c r="R32" s="1" t="inlineStr">
        <is>
          <t>maged</t>
        </is>
      </c>
      <c r="S32" s="1" t="inlineStr">
        <is>
          <t>r ayman</t>
        </is>
      </c>
    </row>
    <row r="33" ht="15.75" customHeight="1" thickBot="1">
      <c r="B33" s="79" t="n"/>
      <c r="C33" s="77" t="n"/>
      <c r="D33" s="32" t="inlineStr">
        <is>
          <t>Apt-208</t>
        </is>
      </c>
      <c r="E33" s="33" t="n">
        <v>103.95</v>
      </c>
      <c r="F33" s="33">
        <f>E33*1.335</f>
        <v/>
      </c>
      <c r="G33" s="8" t="n">
        <v>0</v>
      </c>
      <c r="H33" s="6" t="n">
        <v>2</v>
      </c>
      <c r="I33" s="24" t="n">
        <v>2</v>
      </c>
      <c r="J33" s="12" t="n">
        <v>38500</v>
      </c>
      <c r="K33" s="13" t="n">
        <v>800</v>
      </c>
      <c r="L33" s="13" t="n">
        <v>700</v>
      </c>
      <c r="M33" s="13">
        <f>J33+K33+L33</f>
        <v/>
      </c>
      <c r="N33" s="13">
        <f>M33*0.95</f>
        <v/>
      </c>
      <c r="O33" s="13">
        <f>((F33+(G33/3))*M33)</f>
        <v/>
      </c>
      <c r="P33" s="15">
        <f>O33*0.9</f>
        <v/>
      </c>
      <c r="R33" s="1" t="inlineStr">
        <is>
          <t>e5las</t>
        </is>
      </c>
      <c r="S33" s="1" t="inlineStr">
        <is>
          <t>r ayman</t>
        </is>
      </c>
    </row>
    <row r="34">
      <c r="B34" s="80" t="inlineStr">
        <is>
          <t>Third Floor</t>
        </is>
      </c>
      <c r="C34" s="75" t="n">
        <v>1018.25</v>
      </c>
      <c r="D34" s="5" t="inlineStr">
        <is>
          <t>Apt-301</t>
        </is>
      </c>
      <c r="E34" s="16" t="n">
        <v>103.95</v>
      </c>
      <c r="F34" s="16">
        <f>E34*1.335</f>
        <v/>
      </c>
      <c r="G34" s="7" t="n">
        <v>0</v>
      </c>
      <c r="H34" s="5" t="n">
        <v>2</v>
      </c>
      <c r="I34" s="1" t="n">
        <v>2</v>
      </c>
      <c r="J34" s="25" t="n">
        <v>38500</v>
      </c>
      <c r="K34" s="26" t="n">
        <v>400</v>
      </c>
      <c r="L34" s="26" t="n">
        <v>700</v>
      </c>
      <c r="M34" s="26">
        <f>J34+K34+L34</f>
        <v/>
      </c>
      <c r="N34" s="26">
        <f>M34*0.95</f>
        <v/>
      </c>
      <c r="O34" s="26">
        <f>((F34+(G34/3))*M34)</f>
        <v/>
      </c>
      <c r="P34" s="14">
        <f>O34*0.9</f>
        <v/>
      </c>
    </row>
    <row r="35">
      <c r="B35" s="78" t="n"/>
      <c r="C35" s="76" t="n"/>
      <c r="D35" s="30" t="inlineStr">
        <is>
          <t>Apt-302</t>
        </is>
      </c>
      <c r="E35" s="31" t="n">
        <v>129.57</v>
      </c>
      <c r="F35" s="31">
        <f>E35*1.335</f>
        <v/>
      </c>
      <c r="G35" s="7" t="n">
        <v>0</v>
      </c>
      <c r="H35" s="5" t="n">
        <v>3</v>
      </c>
      <c r="I35" s="1" t="n">
        <v>3</v>
      </c>
      <c r="J35" s="12" t="n">
        <v>35800</v>
      </c>
      <c r="K35" s="13" t="n">
        <v>400</v>
      </c>
      <c r="L35" s="13" t="n">
        <v>700</v>
      </c>
      <c r="M35" s="13">
        <f>J35+K35+L35</f>
        <v/>
      </c>
      <c r="N35" s="13">
        <f>M35*0.95</f>
        <v/>
      </c>
      <c r="O35" s="13">
        <f>((F35+(G35/3))*M35)</f>
        <v/>
      </c>
      <c r="P35" s="14">
        <f>O35*0.9</f>
        <v/>
      </c>
      <c r="R35" s="1" t="inlineStr">
        <is>
          <t xml:space="preserve">abdelrahman </t>
        </is>
      </c>
      <c r="S35" s="1" t="inlineStr">
        <is>
          <t>alaa</t>
        </is>
      </c>
    </row>
    <row r="36">
      <c r="B36" s="78" t="n"/>
      <c r="C36" s="76" t="n"/>
      <c r="D36" s="30" t="inlineStr">
        <is>
          <t>Apt-303</t>
        </is>
      </c>
      <c r="E36" s="31" t="n">
        <v>129.57</v>
      </c>
      <c r="F36" s="31">
        <f>E36*1.335</f>
        <v/>
      </c>
      <c r="G36" s="7" t="n">
        <v>0</v>
      </c>
      <c r="H36" s="5" t="n">
        <v>3</v>
      </c>
      <c r="I36" s="1" t="n">
        <v>3</v>
      </c>
      <c r="J36" s="12" t="n">
        <v>35800</v>
      </c>
      <c r="K36" s="13" t="n">
        <v>400</v>
      </c>
      <c r="L36" s="13" t="n">
        <v>0</v>
      </c>
      <c r="M36" s="13">
        <f>J36+K36+L36</f>
        <v/>
      </c>
      <c r="N36" s="13">
        <f>M36*0.95</f>
        <v/>
      </c>
      <c r="O36" s="13">
        <f>((F36+(G36/3))*M36)</f>
        <v/>
      </c>
      <c r="P36" s="14">
        <f>O36*0.9</f>
        <v/>
      </c>
      <c r="R36" s="1" t="inlineStr">
        <is>
          <t xml:space="preserve">eman </t>
        </is>
      </c>
      <c r="S36" s="1" t="inlineStr">
        <is>
          <t>peter</t>
        </is>
      </c>
    </row>
    <row r="37">
      <c r="B37" s="78" t="n"/>
      <c r="C37" s="76" t="n"/>
      <c r="D37" s="5" t="inlineStr">
        <is>
          <t>Apt-304</t>
        </is>
      </c>
      <c r="E37" s="16" t="n">
        <v>94.5</v>
      </c>
      <c r="F37" s="16">
        <f>E37*1.335</f>
        <v/>
      </c>
      <c r="G37" s="7" t="n">
        <v>0</v>
      </c>
      <c r="H37" s="5" t="n">
        <v>2</v>
      </c>
      <c r="I37" s="1" t="n">
        <v>2</v>
      </c>
      <c r="J37" s="12" t="n">
        <v>38500</v>
      </c>
      <c r="K37" s="13" t="n">
        <v>400</v>
      </c>
      <c r="L37" s="13" t="n">
        <v>0</v>
      </c>
      <c r="M37" s="13">
        <f>J37+K37+L37</f>
        <v/>
      </c>
      <c r="N37" s="13">
        <f>M37*0.95</f>
        <v/>
      </c>
      <c r="O37" s="13">
        <f>((F37+(G37/3))*M37)</f>
        <v/>
      </c>
      <c r="P37" s="14">
        <f>O37*0.9</f>
        <v/>
      </c>
    </row>
    <row r="38">
      <c r="B38" s="78" t="n"/>
      <c r="C38" s="76" t="n"/>
      <c r="D38" s="5" t="inlineStr">
        <is>
          <t>Apt-305</t>
        </is>
      </c>
      <c r="E38" s="16" t="n">
        <v>97.05</v>
      </c>
      <c r="F38" s="16">
        <f>E38*1.335</f>
        <v/>
      </c>
      <c r="G38" s="7" t="n">
        <v>0</v>
      </c>
      <c r="H38" s="5" t="n">
        <v>2</v>
      </c>
      <c r="I38" s="1" t="n">
        <v>2</v>
      </c>
      <c r="J38" s="12" t="n">
        <v>38500</v>
      </c>
      <c r="K38" s="13" t="n">
        <v>400</v>
      </c>
      <c r="L38" s="13" t="n">
        <v>0</v>
      </c>
      <c r="M38" s="13">
        <f>J38+K38+L38</f>
        <v/>
      </c>
      <c r="N38" s="13">
        <f>M38*0.95</f>
        <v/>
      </c>
      <c r="O38" s="13">
        <f>((F38+(G38/3))*M38)</f>
        <v/>
      </c>
      <c r="P38" s="14">
        <f>O38*0.9</f>
        <v/>
      </c>
    </row>
    <row r="39">
      <c r="B39" s="78" t="n"/>
      <c r="C39" s="76" t="n"/>
      <c r="D39" s="5" t="inlineStr">
        <is>
          <t>Apt-306</t>
        </is>
      </c>
      <c r="E39" s="16" t="n">
        <v>129.57</v>
      </c>
      <c r="F39" s="16">
        <f>E39*1.335</f>
        <v/>
      </c>
      <c r="G39" s="7" t="n">
        <v>0</v>
      </c>
      <c r="H39" s="5" t="n">
        <v>3</v>
      </c>
      <c r="I39" s="1" t="n">
        <v>3</v>
      </c>
      <c r="J39" s="12" t="n">
        <v>35800</v>
      </c>
      <c r="K39" s="13" t="n">
        <v>400</v>
      </c>
      <c r="L39" s="13" t="n">
        <v>200</v>
      </c>
      <c r="M39" s="13">
        <f>J39+K39+L39</f>
        <v/>
      </c>
      <c r="N39" s="13">
        <f>M39*0.95</f>
        <v/>
      </c>
      <c r="O39" s="13">
        <f>((F39+(G39/3))*M39)</f>
        <v/>
      </c>
      <c r="P39" s="14">
        <f>O39*0.9</f>
        <v/>
      </c>
    </row>
    <row r="40">
      <c r="B40" s="78" t="n"/>
      <c r="C40" s="76" t="n"/>
      <c r="D40" s="30" t="inlineStr">
        <is>
          <t>Apt-307</t>
        </is>
      </c>
      <c r="E40" s="31" t="n">
        <v>129.57</v>
      </c>
      <c r="F40" s="31">
        <f>E40*1.335</f>
        <v/>
      </c>
      <c r="G40" s="7" t="n">
        <v>0</v>
      </c>
      <c r="H40" s="5" t="n">
        <v>3</v>
      </c>
      <c r="I40" s="1" t="n">
        <v>3</v>
      </c>
      <c r="J40" s="12" t="n">
        <v>35800</v>
      </c>
      <c r="K40" s="13" t="n">
        <v>400</v>
      </c>
      <c r="L40" s="13" t="n">
        <v>700</v>
      </c>
      <c r="M40" s="13">
        <f>J40+K40+L40</f>
        <v/>
      </c>
      <c r="N40" s="13">
        <f>M40*0.95</f>
        <v/>
      </c>
      <c r="O40" s="13">
        <f>((F40+(G40/3))*M40)</f>
        <v/>
      </c>
      <c r="P40" s="14">
        <f>O40*0.9</f>
        <v/>
      </c>
      <c r="R40" s="1" t="inlineStr">
        <is>
          <t xml:space="preserve">ref3at </t>
        </is>
      </c>
      <c r="S40" s="1" t="inlineStr">
        <is>
          <t>maged</t>
        </is>
      </c>
    </row>
    <row r="41" ht="15.75" customHeight="1" thickBot="1">
      <c r="B41" s="79" t="n"/>
      <c r="C41" s="77" t="n"/>
      <c r="D41" s="5" t="inlineStr">
        <is>
          <t>Apt-308</t>
        </is>
      </c>
      <c r="E41" s="17" t="n">
        <v>103.95</v>
      </c>
      <c r="F41" s="17">
        <f>E41*1.335</f>
        <v/>
      </c>
      <c r="G41" s="8" t="n">
        <v>0</v>
      </c>
      <c r="H41" s="6" t="n">
        <v>2</v>
      </c>
      <c r="I41" s="24" t="n">
        <v>2</v>
      </c>
      <c r="J41" s="27" t="n">
        <v>38500</v>
      </c>
      <c r="K41" s="28" t="n">
        <v>400</v>
      </c>
      <c r="L41" s="28" t="n">
        <v>700</v>
      </c>
      <c r="M41" s="28">
        <f>J41+K41+L41</f>
        <v/>
      </c>
      <c r="N41" s="28">
        <f>M41*0.95</f>
        <v/>
      </c>
      <c r="O41" s="28">
        <f>((F41+(G41/3))*M41)</f>
        <v/>
      </c>
      <c r="P41" s="14">
        <f>O41*0.9</f>
        <v/>
      </c>
    </row>
    <row r="42">
      <c r="B42" s="80" t="inlineStr">
        <is>
          <t>Fourth Floor</t>
        </is>
      </c>
      <c r="C42" s="75" t="n">
        <v>1018.25</v>
      </c>
      <c r="D42" s="11" t="inlineStr">
        <is>
          <t>Apt-401</t>
        </is>
      </c>
      <c r="E42" s="16" t="n">
        <v>103.95</v>
      </c>
      <c r="F42" s="16">
        <f>E42*1.335</f>
        <v/>
      </c>
      <c r="G42" s="7" t="n">
        <v>0</v>
      </c>
      <c r="H42" s="5" t="n">
        <v>2</v>
      </c>
      <c r="I42" s="1" t="n">
        <v>2</v>
      </c>
      <c r="J42" s="12" t="n">
        <v>38500</v>
      </c>
      <c r="K42" s="13" t="n">
        <v>200</v>
      </c>
      <c r="L42" s="13" t="n">
        <v>700</v>
      </c>
      <c r="M42" s="13">
        <f>J42+K42+L42</f>
        <v/>
      </c>
      <c r="N42" s="13">
        <f>M42*0.95</f>
        <v/>
      </c>
      <c r="O42" s="13">
        <f>((F42+(G42/3))*M42)</f>
        <v/>
      </c>
      <c r="P42" s="34">
        <f>O42*0.9</f>
        <v/>
      </c>
    </row>
    <row r="43">
      <c r="B43" s="78" t="n"/>
      <c r="C43" s="76" t="n"/>
      <c r="D43" s="35" t="inlineStr">
        <is>
          <t>Apt-402</t>
        </is>
      </c>
      <c r="E43" s="36" t="n">
        <v>129.57</v>
      </c>
      <c r="F43" s="36">
        <f>E43*1.335</f>
        <v/>
      </c>
      <c r="G43" s="7" t="n">
        <v>0</v>
      </c>
      <c r="H43" s="5" t="n">
        <v>3</v>
      </c>
      <c r="I43" s="1" t="n">
        <v>3</v>
      </c>
      <c r="J43" s="12" t="n">
        <v>35800</v>
      </c>
      <c r="K43" s="13" t="n">
        <v>200</v>
      </c>
      <c r="L43" s="13" t="n">
        <v>700</v>
      </c>
      <c r="M43" s="13">
        <f>J43+K43+L43</f>
        <v/>
      </c>
      <c r="N43" s="13">
        <f>M43*0.95</f>
        <v/>
      </c>
      <c r="O43" s="13">
        <f>((F43+(G43/3))*M43)</f>
        <v/>
      </c>
      <c r="P43" s="14">
        <f>O43*0.9</f>
        <v/>
      </c>
      <c r="R43" s="1" t="inlineStr">
        <is>
          <t xml:space="preserve">el sa3eed </t>
        </is>
      </c>
      <c r="S43" s="1" t="inlineStr">
        <is>
          <t>maged</t>
        </is>
      </c>
    </row>
    <row r="44">
      <c r="B44" s="78" t="n"/>
      <c r="C44" s="76" t="n"/>
      <c r="D44" s="5" t="inlineStr">
        <is>
          <t>Apt-403</t>
        </is>
      </c>
      <c r="E44" s="16" t="n">
        <v>129.57</v>
      </c>
      <c r="F44" s="16">
        <f>E44*1.335</f>
        <v/>
      </c>
      <c r="G44" s="7" t="n">
        <v>0</v>
      </c>
      <c r="H44" s="5" t="n">
        <v>3</v>
      </c>
      <c r="I44" s="1" t="n">
        <v>3</v>
      </c>
      <c r="J44" s="12" t="n">
        <v>35800</v>
      </c>
      <c r="K44" s="13" t="n">
        <v>200</v>
      </c>
      <c r="L44" s="13" t="n">
        <v>0</v>
      </c>
      <c r="M44" s="13">
        <f>J44+K44+L44</f>
        <v/>
      </c>
      <c r="N44" s="13">
        <f>M44*0.95</f>
        <v/>
      </c>
      <c r="O44" s="13">
        <f>((F44+(G44/3))*M44)</f>
        <v/>
      </c>
      <c r="P44" s="14">
        <f>O44*0.9</f>
        <v/>
      </c>
    </row>
    <row r="45">
      <c r="B45" s="78" t="n"/>
      <c r="C45" s="76" t="n"/>
      <c r="D45" s="5" t="inlineStr">
        <is>
          <t>Apt-404</t>
        </is>
      </c>
      <c r="E45" s="16" t="n">
        <v>94.5</v>
      </c>
      <c r="F45" s="16">
        <f>E45*1.335</f>
        <v/>
      </c>
      <c r="G45" s="7" t="n">
        <v>0</v>
      </c>
      <c r="H45" s="5" t="n">
        <v>2</v>
      </c>
      <c r="I45" s="1" t="n">
        <v>2</v>
      </c>
      <c r="J45" s="12" t="n">
        <v>38500</v>
      </c>
      <c r="K45" s="13" t="n">
        <v>200</v>
      </c>
      <c r="L45" s="13" t="n">
        <v>0</v>
      </c>
      <c r="M45" s="13">
        <f>J45+K45+L45</f>
        <v/>
      </c>
      <c r="N45" s="13">
        <f>M45*0.95</f>
        <v/>
      </c>
      <c r="O45" s="13">
        <f>((F45+(G45/3))*M45)</f>
        <v/>
      </c>
      <c r="P45" s="14">
        <f>O45*0.9</f>
        <v/>
      </c>
    </row>
    <row r="46">
      <c r="B46" s="78" t="n"/>
      <c r="C46" s="76" t="n"/>
      <c r="D46" s="5" t="inlineStr">
        <is>
          <t>Apt-405</t>
        </is>
      </c>
      <c r="E46" s="16" t="n">
        <v>97.05</v>
      </c>
      <c r="F46" s="16">
        <f>E46*1.335</f>
        <v/>
      </c>
      <c r="G46" s="7" t="n">
        <v>0</v>
      </c>
      <c r="H46" s="5" t="n">
        <v>2</v>
      </c>
      <c r="I46" s="1" t="n">
        <v>2</v>
      </c>
      <c r="J46" s="12" t="n">
        <v>38500</v>
      </c>
      <c r="K46" s="13" t="n">
        <v>200</v>
      </c>
      <c r="L46" s="13" t="n">
        <v>0</v>
      </c>
      <c r="M46" s="13">
        <f>J46+K46+L46</f>
        <v/>
      </c>
      <c r="N46" s="13">
        <f>M46*0.95</f>
        <v/>
      </c>
      <c r="O46" s="13">
        <f>((F46+(G46/3))*M46)</f>
        <v/>
      </c>
      <c r="P46" s="14">
        <f>O46*0.9</f>
        <v/>
      </c>
    </row>
    <row r="47">
      <c r="B47" s="78" t="n"/>
      <c r="C47" s="76" t="n"/>
      <c r="D47" s="5" t="inlineStr">
        <is>
          <t>Apt-406</t>
        </is>
      </c>
      <c r="E47" s="16" t="n">
        <v>129.57</v>
      </c>
      <c r="F47" s="16">
        <f>E47*1.335</f>
        <v/>
      </c>
      <c r="G47" s="7" t="n">
        <v>0</v>
      </c>
      <c r="H47" s="5" t="n">
        <v>3</v>
      </c>
      <c r="I47" s="1" t="n">
        <v>3</v>
      </c>
      <c r="J47" s="12" t="n">
        <v>35800</v>
      </c>
      <c r="K47" s="13" t="n">
        <v>200</v>
      </c>
      <c r="L47" s="13" t="n">
        <v>200</v>
      </c>
      <c r="M47" s="13">
        <f>J47+K47+L47</f>
        <v/>
      </c>
      <c r="N47" s="13">
        <f>M47*0.95</f>
        <v/>
      </c>
      <c r="O47" s="13">
        <f>((F47+(G47/3))*M47)</f>
        <v/>
      </c>
      <c r="P47" s="14">
        <f>O47*0.9</f>
        <v/>
      </c>
    </row>
    <row r="48">
      <c r="B48" s="78" t="n"/>
      <c r="C48" s="76" t="n"/>
      <c r="D48" s="30" t="inlineStr">
        <is>
          <t>Apt-407</t>
        </is>
      </c>
      <c r="E48" s="31" t="n">
        <v>129.57</v>
      </c>
      <c r="F48" s="31">
        <f>E48*1.335</f>
        <v/>
      </c>
      <c r="G48" s="7" t="n">
        <v>0</v>
      </c>
      <c r="H48" s="5" t="n">
        <v>3</v>
      </c>
      <c r="I48" s="1" t="n">
        <v>3</v>
      </c>
      <c r="J48" s="12" t="n">
        <v>35800</v>
      </c>
      <c r="K48" s="13" t="n">
        <v>200</v>
      </c>
      <c r="L48" s="13" t="n">
        <v>700</v>
      </c>
      <c r="M48" s="13">
        <f>J48+K48+L48</f>
        <v/>
      </c>
      <c r="N48" s="13">
        <f>M48*0.95</f>
        <v/>
      </c>
      <c r="O48" s="13">
        <f>((F48+(G48/3))*M48)</f>
        <v/>
      </c>
      <c r="P48" s="14">
        <f>O48*0.9</f>
        <v/>
      </c>
      <c r="R48" s="1" t="inlineStr">
        <is>
          <t xml:space="preserve">ref3at </t>
        </is>
      </c>
      <c r="S48" s="1" t="inlineStr">
        <is>
          <t>maged</t>
        </is>
      </c>
    </row>
    <row r="49" ht="15.75" customHeight="1" thickBot="1">
      <c r="B49" s="79" t="n"/>
      <c r="C49" s="77" t="n"/>
      <c r="D49" s="5" t="inlineStr">
        <is>
          <t>Apt-408</t>
        </is>
      </c>
      <c r="E49" s="17" t="n">
        <v>103.95</v>
      </c>
      <c r="F49" s="17">
        <f>E49*1.335</f>
        <v/>
      </c>
      <c r="G49" s="8" t="n">
        <v>0</v>
      </c>
      <c r="H49" s="6" t="n">
        <v>2</v>
      </c>
      <c r="I49" s="24" t="n">
        <v>2</v>
      </c>
      <c r="J49" s="12" t="n">
        <v>38500</v>
      </c>
      <c r="K49" s="13" t="n">
        <v>200</v>
      </c>
      <c r="L49" s="13" t="n">
        <v>700</v>
      </c>
      <c r="M49" s="13">
        <f>J49+K49+L49</f>
        <v/>
      </c>
      <c r="N49" s="13">
        <f>M49*0.95</f>
        <v/>
      </c>
      <c r="O49" s="13">
        <f>((F49+(G49/3))*M49)</f>
        <v/>
      </c>
      <c r="P49" s="15">
        <f>O49*0.9</f>
        <v/>
      </c>
    </row>
    <row r="50">
      <c r="B50" s="81" t="inlineStr">
        <is>
          <t>Fifth Floor</t>
        </is>
      </c>
      <c r="C50" s="82" t="n">
        <v>1018.25</v>
      </c>
      <c r="D50" s="11" t="inlineStr">
        <is>
          <t>Apt-501</t>
        </is>
      </c>
      <c r="E50" s="16" t="n">
        <v>103.95</v>
      </c>
      <c r="F50" s="16">
        <f>E50*1.335</f>
        <v/>
      </c>
      <c r="G50" s="7" t="n">
        <v>0</v>
      </c>
      <c r="H50" s="5" t="n">
        <v>2</v>
      </c>
      <c r="I50" s="1" t="n">
        <v>2</v>
      </c>
      <c r="J50" s="25" t="n">
        <v>38500</v>
      </c>
      <c r="K50" s="26" t="n">
        <v>0</v>
      </c>
      <c r="L50" s="26" t="n">
        <v>700</v>
      </c>
      <c r="M50" s="26">
        <f>J50+K50+L50</f>
        <v/>
      </c>
      <c r="N50" s="26">
        <f>M50*0.95</f>
        <v/>
      </c>
      <c r="O50" s="26">
        <f>((F50+(G50/3))*M50)</f>
        <v/>
      </c>
      <c r="P50" s="14">
        <f>O50*0.9</f>
        <v/>
      </c>
    </row>
    <row r="51">
      <c r="B51" s="78" t="n"/>
      <c r="C51" s="76" t="n"/>
      <c r="D51" s="5" t="inlineStr">
        <is>
          <t>Apt-502</t>
        </is>
      </c>
      <c r="E51" s="16" t="n">
        <v>129.57</v>
      </c>
      <c r="F51" s="16">
        <f>E51*1.335</f>
        <v/>
      </c>
      <c r="G51" s="7" t="n">
        <v>0</v>
      </c>
      <c r="H51" s="5" t="n">
        <v>3</v>
      </c>
      <c r="I51" s="1" t="n">
        <v>3</v>
      </c>
      <c r="J51" s="12" t="n">
        <v>35800</v>
      </c>
      <c r="K51" s="13" t="n">
        <v>0</v>
      </c>
      <c r="L51" s="13" t="n">
        <v>700</v>
      </c>
      <c r="M51" s="13">
        <f>J51+K51+L51</f>
        <v/>
      </c>
      <c r="N51" s="13">
        <f>M51*0.95</f>
        <v/>
      </c>
      <c r="O51" s="13">
        <f>((F51+(G51/3))*M51)</f>
        <v/>
      </c>
      <c r="P51" s="14">
        <f>O51*0.9</f>
        <v/>
      </c>
    </row>
    <row r="52">
      <c r="B52" s="78" t="n"/>
      <c r="C52" s="76" t="n"/>
      <c r="D52" s="5" t="inlineStr">
        <is>
          <t>Apt-503</t>
        </is>
      </c>
      <c r="E52" s="16" t="n">
        <v>129.57</v>
      </c>
      <c r="F52" s="16">
        <f>E52*1.335</f>
        <v/>
      </c>
      <c r="G52" s="7" t="n">
        <v>0</v>
      </c>
      <c r="H52" s="5" t="n">
        <v>3</v>
      </c>
      <c r="I52" s="1" t="n">
        <v>3</v>
      </c>
      <c r="J52" s="12" t="n">
        <v>35800</v>
      </c>
      <c r="K52" s="13" t="n">
        <v>0</v>
      </c>
      <c r="L52" s="13" t="n">
        <v>0</v>
      </c>
      <c r="M52" s="13">
        <f>J52+K52+L52</f>
        <v/>
      </c>
      <c r="N52" s="13">
        <f>M52*0.95</f>
        <v/>
      </c>
      <c r="O52" s="13">
        <f>((F52+(G52/3))*M52)</f>
        <v/>
      </c>
      <c r="P52" s="14">
        <f>O52*0.9</f>
        <v/>
      </c>
    </row>
    <row r="53">
      <c r="B53" s="78" t="n"/>
      <c r="C53" s="76" t="n"/>
      <c r="D53" s="5" t="inlineStr">
        <is>
          <t>Apt-504</t>
        </is>
      </c>
      <c r="E53" s="16" t="n">
        <v>94.5</v>
      </c>
      <c r="F53" s="16">
        <f>E53*1.335</f>
        <v/>
      </c>
      <c r="G53" s="7" t="n">
        <v>0</v>
      </c>
      <c r="H53" s="5" t="n">
        <v>2</v>
      </c>
      <c r="I53" s="1" t="n">
        <v>2</v>
      </c>
      <c r="J53" s="12" t="n">
        <v>38500</v>
      </c>
      <c r="K53" s="13" t="n">
        <v>0</v>
      </c>
      <c r="L53" s="13" t="n">
        <v>0</v>
      </c>
      <c r="M53" s="13">
        <f>J53+K53+L53</f>
        <v/>
      </c>
      <c r="N53" s="13">
        <f>M53*0.95</f>
        <v/>
      </c>
      <c r="O53" s="13">
        <f>((F53+(G53/3))*M53)</f>
        <v/>
      </c>
      <c r="P53" s="14">
        <f>O53*0.9</f>
        <v/>
      </c>
    </row>
    <row r="54">
      <c r="B54" s="78" t="n"/>
      <c r="C54" s="76" t="n"/>
      <c r="D54" s="5" t="inlineStr">
        <is>
          <t>Apt-505</t>
        </is>
      </c>
      <c r="E54" s="16" t="n">
        <v>97.05</v>
      </c>
      <c r="F54" s="16">
        <f>E54*1.335</f>
        <v/>
      </c>
      <c r="G54" s="7" t="n">
        <v>0</v>
      </c>
      <c r="H54" s="5" t="n">
        <v>2</v>
      </c>
      <c r="I54" s="1" t="n">
        <v>2</v>
      </c>
      <c r="J54" s="12" t="n">
        <v>38500</v>
      </c>
      <c r="K54" s="13" t="n">
        <v>0</v>
      </c>
      <c r="L54" s="13" t="n">
        <v>0</v>
      </c>
      <c r="M54" s="13">
        <f>J54+K54+L54</f>
        <v/>
      </c>
      <c r="N54" s="13">
        <f>M54*0.95</f>
        <v/>
      </c>
      <c r="O54" s="13">
        <f>((F54+(G54/3))*M54)</f>
        <v/>
      </c>
      <c r="P54" s="14">
        <f>O54*0.9</f>
        <v/>
      </c>
    </row>
    <row r="55">
      <c r="B55" s="78" t="n"/>
      <c r="C55" s="76" t="n"/>
      <c r="D55" s="5" t="inlineStr">
        <is>
          <t>Apt-506</t>
        </is>
      </c>
      <c r="E55" s="16" t="n">
        <v>129.57</v>
      </c>
      <c r="F55" s="16">
        <f>E55*1.335</f>
        <v/>
      </c>
      <c r="G55" s="7" t="n">
        <v>0</v>
      </c>
      <c r="H55" s="5" t="n">
        <v>3</v>
      </c>
      <c r="I55" s="1" t="n">
        <v>3</v>
      </c>
      <c r="J55" s="12" t="n">
        <v>35800</v>
      </c>
      <c r="K55" s="13" t="n">
        <v>0</v>
      </c>
      <c r="L55" s="13" t="n">
        <v>200</v>
      </c>
      <c r="M55" s="13">
        <f>J55+K55+L55</f>
        <v/>
      </c>
      <c r="N55" s="13">
        <f>M55*0.95</f>
        <v/>
      </c>
      <c r="O55" s="13">
        <f>((F55+(G55/3))*M55)</f>
        <v/>
      </c>
      <c r="P55" s="14">
        <f>O55*0.9</f>
        <v/>
      </c>
    </row>
    <row r="56">
      <c r="B56" s="78" t="n"/>
      <c r="C56" s="76" t="n"/>
      <c r="D56" s="5" t="inlineStr">
        <is>
          <t>Apt-507</t>
        </is>
      </c>
      <c r="E56" s="16" t="n">
        <v>129.57</v>
      </c>
      <c r="F56" s="16">
        <f>E56*1.335</f>
        <v/>
      </c>
      <c r="G56" s="7" t="n">
        <v>0</v>
      </c>
      <c r="H56" s="5" t="n">
        <v>3</v>
      </c>
      <c r="I56" s="1" t="n">
        <v>3</v>
      </c>
      <c r="J56" s="12" t="n">
        <v>35800</v>
      </c>
      <c r="K56" s="13" t="n">
        <v>0</v>
      </c>
      <c r="L56" s="13" t="n">
        <v>700</v>
      </c>
      <c r="M56" s="13">
        <f>J56+K56+L56</f>
        <v/>
      </c>
      <c r="N56" s="13">
        <f>M56*0.95</f>
        <v/>
      </c>
      <c r="O56" s="13">
        <f>((F56+(G56/3))*M56)</f>
        <v/>
      </c>
      <c r="P56" s="14">
        <f>O56*0.9</f>
        <v/>
      </c>
    </row>
    <row r="57" ht="15.75" customHeight="1" thickBot="1">
      <c r="B57" s="83" t="n"/>
      <c r="C57" s="84" t="n"/>
      <c r="D57" s="9" t="inlineStr">
        <is>
          <t>Apt-508</t>
        </is>
      </c>
      <c r="E57" s="18" t="n">
        <v>103.95</v>
      </c>
      <c r="F57" s="18">
        <f>E57*1.335</f>
        <v/>
      </c>
      <c r="G57" s="10" t="n">
        <v>0</v>
      </c>
      <c r="H57" s="9" t="n">
        <v>2</v>
      </c>
      <c r="I57" s="29" t="n">
        <v>2</v>
      </c>
      <c r="J57" s="27" t="n">
        <v>38500</v>
      </c>
      <c r="K57" s="28" t="n">
        <v>0</v>
      </c>
      <c r="L57" s="28" t="n">
        <v>700</v>
      </c>
      <c r="M57" s="28">
        <f>J57+K57+L57</f>
        <v/>
      </c>
      <c r="N57" s="28">
        <f>M57*0.95</f>
        <v/>
      </c>
      <c r="O57" s="28">
        <f>((F57+(G57/3))*M57)</f>
        <v/>
      </c>
      <c r="P57" s="15">
        <f>O57*0.9</f>
        <v/>
      </c>
    </row>
    <row r="58" ht="15.75" customHeight="1" thickTop="1">
      <c r="E58" s="19">
        <f>SUM(E10:E57)</f>
        <v/>
      </c>
      <c r="F58" s="19">
        <f>SUM(F10:F57)</f>
        <v/>
      </c>
      <c r="G58" s="19">
        <f>SUM(G10:G57)</f>
        <v/>
      </c>
    </row>
    <row r="59">
      <c r="P59" s="13">
        <f>SUM(P7:P57)</f>
        <v/>
      </c>
    </row>
  </sheetData>
  <mergeCells count="14">
    <mergeCell ref="B34:B41"/>
    <mergeCell ref="B26:B33"/>
    <mergeCell ref="B7:I8"/>
    <mergeCell ref="C26:C33"/>
    <mergeCell ref="C34:C41"/>
    <mergeCell ref="B18:B25"/>
    <mergeCell ref="C42:C49"/>
    <mergeCell ref="B4:Q6"/>
    <mergeCell ref="C10:C17"/>
    <mergeCell ref="B10:B17"/>
    <mergeCell ref="B42:B49"/>
    <mergeCell ref="C18:C25"/>
    <mergeCell ref="C50:C57"/>
    <mergeCell ref="B50:B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rightToLeft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8" customWidth="1" min="9" max="9"/>
    <col width="16" customWidth="1" min="10" max="10"/>
    <col width="20" customWidth="1" min="11" max="11"/>
    <col width="30" customWidth="1" min="12" max="12"/>
    <col width="16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16" customWidth="1" min="19" max="19"/>
    <col width="18" customWidth="1" min="20" max="20"/>
    <col width="16" customWidth="1" min="21" max="21"/>
    <col width="22" customWidth="1" min="22" max="22"/>
    <col width="20" customWidth="1" min="23" max="23"/>
  </cols>
  <sheetData>
    <row r="1" ht="20" customHeight="1">
      <c r="A1" s="85" t="inlineStr">
        <is>
          <t>PRODUCT IMPORT TEMPLATE — generated from source sheet. Review before use.</t>
        </is>
      </c>
    </row>
    <row r="2">
      <c r="A2" s="86" t="inlineStr">
        <is>
          <t>Green = mapped directly from source (verify). Yellow = required by the system but left BLANK because the source is ambiguous or missing — fill in before import. Gray = reference/source data only, not an import column.</t>
        </is>
      </c>
    </row>
    <row r="3">
      <c r="A3" s="87" t="inlineStr">
        <is>
          <t>Source: 'SAWA Residential Compound Inventory', Block A, Ground-&gt;Fifth floor (rows 10-57 of Sheet1).</t>
        </is>
      </c>
    </row>
    <row r="4">
      <c r="A4" s="87" t="inlineStr">
        <is>
          <t>building_number mapped as 'Block A' for every row (the sheet covers a single block only).</t>
        </is>
      </c>
    </row>
    <row r="5">
      <c r="A5" s="87" t="inlineStr">
        <is>
          <t>apartment_space_m2 left BLANK: source has both Net Area and Gross Area (Gross = Net x 1.335, see ref_gross_area_m2 formula) - decide which one the field should hold, or map to net/gross consistently.</t>
        </is>
      </c>
    </row>
    <row r="6">
      <c r="A6" s="87" t="inlineStr">
        <is>
          <t>apartment_price_per_m2 left BLANK: source has 5 price candidates (list price, price after advance, price after 5% discount, total price, total price after 10% discount) - see ref_* columns and decide which is the canonical per-m2 price.</t>
        </is>
      </c>
    </row>
    <row r="7">
      <c r="A7" s="87" t="inlineStr">
        <is>
          <t>apartment_status_id left BLANK: source has no status column. ref_agent_notes carries the informal agent names found in columns R/S, which may hint at reserved/sold units but are not a formal status.</t>
        </is>
      </c>
    </row>
    <row r="8">
      <c r="A8" s="87" t="inlineStr">
        <is>
          <t>project_id left BLANK: no 'SAWA' project exists in the system yet - create the Project first, then fill this column with its ID.</t>
        </is>
      </c>
    </row>
    <row r="10">
      <c r="A10" s="88" t="inlineStr">
        <is>
          <t>product_id</t>
        </is>
      </c>
      <c r="B10" s="89" t="inlineStr">
        <is>
          <t>product_name</t>
        </is>
      </c>
      <c r="C10" s="89" t="inlineStr">
        <is>
          <t>product_type_id</t>
        </is>
      </c>
      <c r="D10" s="90" t="inlineStr">
        <is>
          <t>project_id</t>
        </is>
      </c>
      <c r="E10" s="89" t="inlineStr">
        <is>
          <t>building_number</t>
        </is>
      </c>
      <c r="F10" s="89" t="inlineStr">
        <is>
          <t>floor_number</t>
        </is>
      </c>
      <c r="G10" s="90" t="inlineStr">
        <is>
          <t>apartment_space_m2</t>
        </is>
      </c>
      <c r="H10" s="89" t="inlineStr">
        <is>
          <t>garden_space_m2</t>
        </is>
      </c>
      <c r="I10" s="90" t="inlineStr">
        <is>
          <t>apartment_price_per_m2</t>
        </is>
      </c>
      <c r="J10" s="90" t="inlineStr">
        <is>
          <t>garden_price_per_m2</t>
        </is>
      </c>
      <c r="K10" s="90" t="inlineStr">
        <is>
          <t>apartment_status_id</t>
        </is>
      </c>
      <c r="L10" s="89" t="inlineStr">
        <is>
          <t>comments</t>
        </is>
      </c>
      <c r="M10" s="88" t="inlineStr">
        <is>
          <t>ref_floor_level_text</t>
        </is>
      </c>
      <c r="N10" s="88" t="inlineStr">
        <is>
          <t>ref_net_area_m2</t>
        </is>
      </c>
      <c r="O10" s="88" t="inlineStr">
        <is>
          <t>ref_gross_area_m2</t>
        </is>
      </c>
      <c r="P10" s="88" t="inlineStr">
        <is>
          <t>ref_bedrooms</t>
        </is>
      </c>
      <c r="Q10" s="88" t="inlineStr">
        <is>
          <t>ref_toilets</t>
        </is>
      </c>
      <c r="R10" s="88" t="inlineStr">
        <is>
          <t>ref_price_per_meter</t>
        </is>
      </c>
      <c r="S10" s="88" t="inlineStr">
        <is>
          <t>ref_price_after_adv</t>
        </is>
      </c>
      <c r="T10" s="88" t="inlineStr">
        <is>
          <t>ref_meter_after_discount</t>
        </is>
      </c>
      <c r="U10" s="88" t="inlineStr">
        <is>
          <t>ref_total_price</t>
        </is>
      </c>
      <c r="V10" s="88" t="inlineStr">
        <is>
          <t>ref_total_price_after_discount_10pct</t>
        </is>
      </c>
      <c r="W10" s="88" t="inlineStr">
        <is>
          <t>ref_agent_notes</t>
        </is>
      </c>
    </row>
    <row r="11">
      <c r="B11" t="inlineStr">
        <is>
          <t>Apt-001</t>
        </is>
      </c>
      <c r="C11" t="inlineStr">
        <is>
          <t>APARTMENT</t>
        </is>
      </c>
      <c r="E11" t="inlineStr">
        <is>
          <t>Block A</t>
        </is>
      </c>
      <c r="F11" t="inlineStr">
        <is>
          <t>0</t>
        </is>
      </c>
      <c r="H11" t="n">
        <v>23.56</v>
      </c>
      <c r="L11" t="inlineStr">
        <is>
          <t>Bedrooms: 1, Toilets: 1</t>
        </is>
      </c>
      <c r="M11" t="inlineStr">
        <is>
          <t>Ground Floor</t>
        </is>
      </c>
      <c r="N11" t="n">
        <v>57.2</v>
      </c>
      <c r="O11" t="n">
        <v>76.36</v>
      </c>
      <c r="P11" t="n">
        <v>1</v>
      </c>
      <c r="Q11" t="n">
        <v>1</v>
      </c>
      <c r="R11" t="n">
        <v>42000</v>
      </c>
      <c r="S11" t="n">
        <v>43500</v>
      </c>
      <c r="T11" t="n">
        <v>41325</v>
      </c>
      <c r="U11" t="n">
        <v>3663367</v>
      </c>
      <c r="V11" t="n">
        <v>3297030.3</v>
      </c>
    </row>
    <row r="12">
      <c r="B12" t="inlineStr">
        <is>
          <t>Apt-002</t>
        </is>
      </c>
      <c r="C12" t="inlineStr">
        <is>
          <t>APARTMENT</t>
        </is>
      </c>
      <c r="E12" t="inlineStr">
        <is>
          <t>Block A</t>
        </is>
      </c>
      <c r="F12" t="inlineStr">
        <is>
          <t>0</t>
        </is>
      </c>
      <c r="H12" t="n">
        <v>43.63</v>
      </c>
      <c r="L12" t="inlineStr">
        <is>
          <t>Bedrooms: 3, Toilets: 3</t>
        </is>
      </c>
      <c r="M12" t="inlineStr">
        <is>
          <t>Ground Floor</t>
        </is>
      </c>
      <c r="N12" t="n">
        <v>121.81</v>
      </c>
      <c r="O12" t="n">
        <v>162.62</v>
      </c>
      <c r="P12" t="n">
        <v>3</v>
      </c>
      <c r="Q12" t="n">
        <v>3</v>
      </c>
      <c r="R12" t="n">
        <v>35800</v>
      </c>
      <c r="S12" t="n">
        <v>37300</v>
      </c>
      <c r="T12" t="n">
        <v>35435</v>
      </c>
      <c r="U12" t="n">
        <v>6608056.19</v>
      </c>
      <c r="V12" t="n">
        <v>5947250.57</v>
      </c>
    </row>
    <row r="13">
      <c r="B13" t="inlineStr">
        <is>
          <t>Apt-003</t>
        </is>
      </c>
      <c r="C13" t="inlineStr">
        <is>
          <t>APARTMENT</t>
        </is>
      </c>
      <c r="E13" t="inlineStr">
        <is>
          <t>Block A</t>
        </is>
      </c>
      <c r="F13" t="inlineStr">
        <is>
          <t>0</t>
        </is>
      </c>
      <c r="H13" t="n">
        <v>80.83</v>
      </c>
      <c r="L13" t="inlineStr">
        <is>
          <t>Bedrooms: 3, Toilets: 3</t>
        </is>
      </c>
      <c r="M13" t="inlineStr">
        <is>
          <t>Ground Floor</t>
        </is>
      </c>
      <c r="N13" t="n">
        <v>121.81</v>
      </c>
      <c r="O13" t="n">
        <v>162.62</v>
      </c>
      <c r="P13" t="n">
        <v>3</v>
      </c>
      <c r="Q13" t="n">
        <v>3</v>
      </c>
      <c r="R13" t="n">
        <v>35800</v>
      </c>
      <c r="S13" t="n">
        <v>36600</v>
      </c>
      <c r="T13" t="n">
        <v>34770</v>
      </c>
      <c r="U13" t="n">
        <v>6937884.41</v>
      </c>
      <c r="V13" t="n">
        <v>6244095.97</v>
      </c>
    </row>
    <row r="14">
      <c r="B14" t="inlineStr">
        <is>
          <t>Apt-004</t>
        </is>
      </c>
      <c r="C14" t="inlineStr">
        <is>
          <t>APARTMENT</t>
        </is>
      </c>
      <c r="E14" t="inlineStr">
        <is>
          <t>Block A</t>
        </is>
      </c>
      <c r="F14" t="inlineStr">
        <is>
          <t>0</t>
        </is>
      </c>
      <c r="H14" t="n">
        <v>67.09999999999999</v>
      </c>
      <c r="L14" t="inlineStr">
        <is>
          <t>Bedrooms: 2, Toilets: 2</t>
        </is>
      </c>
      <c r="M14" t="inlineStr">
        <is>
          <t>Ground Floor</t>
        </is>
      </c>
      <c r="N14" t="n">
        <v>88.69</v>
      </c>
      <c r="O14" t="n">
        <v>118.4</v>
      </c>
      <c r="P14" t="n">
        <v>2</v>
      </c>
      <c r="Q14" t="n">
        <v>2</v>
      </c>
      <c r="R14" t="n">
        <v>38500</v>
      </c>
      <c r="S14" t="n">
        <v>39300</v>
      </c>
      <c r="T14" t="n">
        <v>37335</v>
      </c>
      <c r="U14" t="n">
        <v>5532175.19</v>
      </c>
      <c r="V14" t="n">
        <v>4978957.68</v>
      </c>
    </row>
    <row r="15">
      <c r="B15" t="inlineStr">
        <is>
          <t>Apt-005</t>
        </is>
      </c>
      <c r="C15" t="inlineStr">
        <is>
          <t>APARTMENT</t>
        </is>
      </c>
      <c r="E15" t="inlineStr">
        <is>
          <t>Block A</t>
        </is>
      </c>
      <c r="F15" t="inlineStr">
        <is>
          <t>0</t>
        </is>
      </c>
      <c r="H15" t="n">
        <v>67.09999999999999</v>
      </c>
      <c r="L15" t="inlineStr">
        <is>
          <t>Bedrooms: 2, Toilets: 2</t>
        </is>
      </c>
      <c r="M15" t="inlineStr">
        <is>
          <t>Ground Floor</t>
        </is>
      </c>
      <c r="N15" t="n">
        <v>91.23</v>
      </c>
      <c r="O15" t="n">
        <v>121.79</v>
      </c>
      <c r="P15" t="n">
        <v>2</v>
      </c>
      <c r="Q15" t="n">
        <v>2</v>
      </c>
      <c r="R15" t="n">
        <v>38500</v>
      </c>
      <c r="S15" t="n">
        <v>39300</v>
      </c>
      <c r="T15" t="n">
        <v>37335</v>
      </c>
      <c r="U15" t="n">
        <v>5665437.56</v>
      </c>
      <c r="V15" t="n">
        <v>5098893.81</v>
      </c>
    </row>
    <row r="16">
      <c r="B16" t="inlineStr">
        <is>
          <t>Apt-006</t>
        </is>
      </c>
      <c r="C16" t="inlineStr">
        <is>
          <t>APARTMENT</t>
        </is>
      </c>
      <c r="E16" t="inlineStr">
        <is>
          <t>Block A</t>
        </is>
      </c>
      <c r="F16" t="inlineStr">
        <is>
          <t>0</t>
        </is>
      </c>
      <c r="H16" t="n">
        <v>80.83</v>
      </c>
      <c r="L16" t="inlineStr">
        <is>
          <t>Bedrooms: 3, Toilets: 3</t>
        </is>
      </c>
      <c r="M16" t="inlineStr">
        <is>
          <t>Ground Floor</t>
        </is>
      </c>
      <c r="N16" t="n">
        <v>121.81</v>
      </c>
      <c r="O16" t="n">
        <v>162.62</v>
      </c>
      <c r="P16" t="n">
        <v>3</v>
      </c>
      <c r="Q16" t="n">
        <v>3</v>
      </c>
      <c r="R16" t="n">
        <v>35800</v>
      </c>
      <c r="S16" t="n">
        <v>36800</v>
      </c>
      <c r="T16" t="n">
        <v>34960</v>
      </c>
      <c r="U16" t="n">
        <v>6975796.35</v>
      </c>
      <c r="V16" t="n">
        <v>6278216.71</v>
      </c>
    </row>
    <row r="17">
      <c r="B17" t="inlineStr">
        <is>
          <t>Apt-007</t>
        </is>
      </c>
      <c r="C17" t="inlineStr">
        <is>
          <t>APARTMENT</t>
        </is>
      </c>
      <c r="E17" t="inlineStr">
        <is>
          <t>Block A</t>
        </is>
      </c>
      <c r="F17" t="inlineStr">
        <is>
          <t>0</t>
        </is>
      </c>
      <c r="H17" t="n">
        <v>43.63</v>
      </c>
      <c r="L17" t="inlineStr">
        <is>
          <t>Bedrooms: 3, Toilets: 3</t>
        </is>
      </c>
      <c r="M17" t="inlineStr">
        <is>
          <t>Ground Floor</t>
        </is>
      </c>
      <c r="N17" t="n">
        <v>121.81</v>
      </c>
      <c r="O17" t="n">
        <v>162.62</v>
      </c>
      <c r="P17" t="n">
        <v>3</v>
      </c>
      <c r="Q17" t="n">
        <v>3</v>
      </c>
      <c r="R17" t="n">
        <v>35800</v>
      </c>
      <c r="S17" t="n">
        <v>37300</v>
      </c>
      <c r="T17" t="n">
        <v>35435</v>
      </c>
      <c r="U17" t="n">
        <v>6608056.19</v>
      </c>
      <c r="V17" t="n">
        <v>5947250.57</v>
      </c>
      <c r="W17" t="inlineStr">
        <is>
          <t>Hamdy / Hamdy</t>
        </is>
      </c>
    </row>
    <row r="18">
      <c r="B18" t="inlineStr">
        <is>
          <t>Apt-008</t>
        </is>
      </c>
      <c r="C18" t="inlineStr">
        <is>
          <t>APARTMENT</t>
        </is>
      </c>
      <c r="E18" t="inlineStr">
        <is>
          <t>Block A</t>
        </is>
      </c>
      <c r="F18" t="inlineStr">
        <is>
          <t>0</t>
        </is>
      </c>
      <c r="H18" t="n">
        <v>34.41</v>
      </c>
      <c r="L18" t="inlineStr">
        <is>
          <t>Bedrooms: 2, Toilets: 2</t>
        </is>
      </c>
      <c r="M18" t="inlineStr">
        <is>
          <t>Ground Floor</t>
        </is>
      </c>
      <c r="N18" t="n">
        <v>96.11</v>
      </c>
      <c r="O18" t="n">
        <v>128.31</v>
      </c>
      <c r="P18" t="n">
        <v>2</v>
      </c>
      <c r="Q18" t="n">
        <v>2</v>
      </c>
      <c r="R18" t="n">
        <v>38500</v>
      </c>
      <c r="S18" t="n">
        <v>40000</v>
      </c>
      <c r="T18" t="n">
        <v>38000</v>
      </c>
      <c r="U18" t="n">
        <v>5591074</v>
      </c>
      <c r="V18" t="n">
        <v>5031966.6</v>
      </c>
      <c r="W18" t="inlineStr">
        <is>
          <t>hamdy / hamdy</t>
        </is>
      </c>
    </row>
    <row r="19">
      <c r="B19" t="inlineStr">
        <is>
          <t>Apt-101</t>
        </is>
      </c>
      <c r="C19" t="inlineStr">
        <is>
          <t>APARTMENT</t>
        </is>
      </c>
      <c r="E19" t="inlineStr">
        <is>
          <t>Block A</t>
        </is>
      </c>
      <c r="F19" t="inlineStr">
        <is>
          <t>1</t>
        </is>
      </c>
      <c r="H19" t="n">
        <v>0</v>
      </c>
      <c r="L19" t="inlineStr">
        <is>
          <t>Bedrooms: 2, Toilets: 2</t>
        </is>
      </c>
      <c r="M19" t="inlineStr">
        <is>
          <t>First Floor</t>
        </is>
      </c>
      <c r="N19" t="n">
        <v>103.95</v>
      </c>
      <c r="O19" t="n">
        <v>138.77</v>
      </c>
      <c r="P19" t="n">
        <v>2</v>
      </c>
      <c r="Q19" t="n">
        <v>2</v>
      </c>
      <c r="R19" t="n">
        <v>38500</v>
      </c>
      <c r="S19" t="n">
        <v>39600</v>
      </c>
      <c r="T19" t="n">
        <v>37620</v>
      </c>
      <c r="U19" t="n">
        <v>5495420.7</v>
      </c>
      <c r="V19" t="n">
        <v>4945878.63</v>
      </c>
    </row>
    <row r="20">
      <c r="B20" t="inlineStr">
        <is>
          <t>Apt-102</t>
        </is>
      </c>
      <c r="C20" t="inlineStr">
        <is>
          <t>APARTMENT</t>
        </is>
      </c>
      <c r="E20" t="inlineStr">
        <is>
          <t>Block A</t>
        </is>
      </c>
      <c r="F20" t="inlineStr">
        <is>
          <t>1</t>
        </is>
      </c>
      <c r="H20" t="n">
        <v>0</v>
      </c>
      <c r="L20" t="inlineStr">
        <is>
          <t>Bedrooms: 3, Toilets: 3</t>
        </is>
      </c>
      <c r="M20" t="inlineStr">
        <is>
          <t>First Floor</t>
        </is>
      </c>
      <c r="N20" t="n">
        <v>129.57</v>
      </c>
      <c r="O20" t="n">
        <v>172.98</v>
      </c>
      <c r="P20" t="n">
        <v>3</v>
      </c>
      <c r="Q20" t="n">
        <v>3</v>
      </c>
      <c r="R20" t="n">
        <v>35800</v>
      </c>
      <c r="S20" t="n">
        <v>36900</v>
      </c>
      <c r="T20" t="n">
        <v>35055</v>
      </c>
      <c r="U20" t="n">
        <v>6382812.55</v>
      </c>
      <c r="V20" t="n">
        <v>5744531.3</v>
      </c>
      <c r="W20" t="inlineStr">
        <is>
          <t>berhan  / eman</t>
        </is>
      </c>
    </row>
    <row r="21">
      <c r="B21" t="inlineStr">
        <is>
          <t>Apt-103</t>
        </is>
      </c>
      <c r="C21" t="inlineStr">
        <is>
          <t>APARTMENT</t>
        </is>
      </c>
      <c r="E21" t="inlineStr">
        <is>
          <t>Block A</t>
        </is>
      </c>
      <c r="F21" t="inlineStr">
        <is>
          <t>1</t>
        </is>
      </c>
      <c r="H21" t="n">
        <v>0</v>
      </c>
      <c r="L21" t="inlineStr">
        <is>
          <t>Bedrooms: 3, Toilets: 3</t>
        </is>
      </c>
      <c r="M21" t="inlineStr">
        <is>
          <t>First Floor</t>
        </is>
      </c>
      <c r="N21" t="n">
        <v>129.57</v>
      </c>
      <c r="O21" t="n">
        <v>172.98</v>
      </c>
      <c r="P21" t="n">
        <v>3</v>
      </c>
      <c r="Q21" t="n">
        <v>3</v>
      </c>
      <c r="R21" t="n">
        <v>35800</v>
      </c>
      <c r="S21" t="n">
        <v>36200</v>
      </c>
      <c r="T21" t="n">
        <v>34390</v>
      </c>
      <c r="U21" t="n">
        <v>6261729.39</v>
      </c>
      <c r="V21" t="n">
        <v>5635556.45</v>
      </c>
      <c r="W21" t="inlineStr">
        <is>
          <t>hamdy</t>
        </is>
      </c>
    </row>
    <row r="22">
      <c r="B22" t="inlineStr">
        <is>
          <t>Apt-104</t>
        </is>
      </c>
      <c r="C22" t="inlineStr">
        <is>
          <t>APARTMENT</t>
        </is>
      </c>
      <c r="E22" t="inlineStr">
        <is>
          <t>Block A</t>
        </is>
      </c>
      <c r="F22" t="inlineStr">
        <is>
          <t>1</t>
        </is>
      </c>
      <c r="H22" t="n">
        <v>0</v>
      </c>
      <c r="L22" t="inlineStr">
        <is>
          <t>Bedrooms: 2, Toilets: 2</t>
        </is>
      </c>
      <c r="M22" t="inlineStr">
        <is>
          <t>First Floor</t>
        </is>
      </c>
      <c r="N22" t="n">
        <v>94.5</v>
      </c>
      <c r="O22" t="n">
        <v>126.16</v>
      </c>
      <c r="P22" t="n">
        <v>2</v>
      </c>
      <c r="Q22" t="n">
        <v>2</v>
      </c>
      <c r="R22" t="n">
        <v>38500</v>
      </c>
      <c r="S22" t="n">
        <v>38900</v>
      </c>
      <c r="T22" t="n">
        <v>36955</v>
      </c>
      <c r="U22" t="n">
        <v>4907526.75</v>
      </c>
      <c r="V22" t="n">
        <v>4416774.08</v>
      </c>
      <c r="W22" t="inlineStr">
        <is>
          <t>hamdy</t>
        </is>
      </c>
    </row>
    <row r="23">
      <c r="B23" t="inlineStr">
        <is>
          <t>Apt-105</t>
        </is>
      </c>
      <c r="C23" t="inlineStr">
        <is>
          <t>APARTMENT</t>
        </is>
      </c>
      <c r="E23" t="inlineStr">
        <is>
          <t>Block A</t>
        </is>
      </c>
      <c r="F23" t="inlineStr">
        <is>
          <t>1</t>
        </is>
      </c>
      <c r="H23" t="n">
        <v>0</v>
      </c>
      <c r="L23" t="inlineStr">
        <is>
          <t>Bedrooms: 2, Toilets: 2</t>
        </is>
      </c>
      <c r="M23" t="inlineStr">
        <is>
          <t>First Floor</t>
        </is>
      </c>
      <c r="N23" t="n">
        <v>97.05</v>
      </c>
      <c r="O23" t="n">
        <v>129.56</v>
      </c>
      <c r="P23" t="n">
        <v>2</v>
      </c>
      <c r="Q23" t="n">
        <v>2</v>
      </c>
      <c r="R23" t="n">
        <v>38500</v>
      </c>
      <c r="S23" t="n">
        <v>38900</v>
      </c>
      <c r="T23" t="n">
        <v>36955</v>
      </c>
      <c r="U23" t="n">
        <v>5039952.07</v>
      </c>
      <c r="V23" t="n">
        <v>4535956.87</v>
      </c>
    </row>
    <row r="24">
      <c r="B24" t="inlineStr">
        <is>
          <t>Apt-106</t>
        </is>
      </c>
      <c r="C24" t="inlineStr">
        <is>
          <t>APARTMENT</t>
        </is>
      </c>
      <c r="E24" t="inlineStr">
        <is>
          <t>Block A</t>
        </is>
      </c>
      <c r="F24" t="inlineStr">
        <is>
          <t>1</t>
        </is>
      </c>
      <c r="H24" t="n">
        <v>0</v>
      </c>
      <c r="L24" t="inlineStr">
        <is>
          <t>Bedrooms: 3, Toilets: 3</t>
        </is>
      </c>
      <c r="M24" t="inlineStr">
        <is>
          <t>First Floor</t>
        </is>
      </c>
      <c r="N24" t="n">
        <v>129.57</v>
      </c>
      <c r="O24" t="n">
        <v>172.98</v>
      </c>
      <c r="P24" t="n">
        <v>3</v>
      </c>
      <c r="Q24" t="n">
        <v>3</v>
      </c>
      <c r="R24" t="n">
        <v>35800</v>
      </c>
      <c r="S24" t="n">
        <v>36400</v>
      </c>
      <c r="T24" t="n">
        <v>34580</v>
      </c>
      <c r="U24" t="n">
        <v>6296324.58</v>
      </c>
      <c r="V24" t="n">
        <v>5666692.12</v>
      </c>
    </row>
    <row r="25">
      <c r="B25" t="inlineStr">
        <is>
          <t>Apt-107</t>
        </is>
      </c>
      <c r="C25" t="inlineStr">
        <is>
          <t>APARTMENT</t>
        </is>
      </c>
      <c r="E25" t="inlineStr">
        <is>
          <t>Block A</t>
        </is>
      </c>
      <c r="F25" t="inlineStr">
        <is>
          <t>1</t>
        </is>
      </c>
      <c r="H25" t="n">
        <v>0</v>
      </c>
      <c r="L25" t="inlineStr">
        <is>
          <t>Bedrooms: 3, Toilets: 3</t>
        </is>
      </c>
      <c r="M25" t="inlineStr">
        <is>
          <t>First Floor</t>
        </is>
      </c>
      <c r="N25" t="n">
        <v>129.57</v>
      </c>
      <c r="O25" t="n">
        <v>172.98</v>
      </c>
      <c r="P25" t="n">
        <v>3</v>
      </c>
      <c r="Q25" t="n">
        <v>3</v>
      </c>
      <c r="R25" t="n">
        <v>35800</v>
      </c>
      <c r="S25" t="n">
        <v>36900</v>
      </c>
      <c r="T25" t="n">
        <v>35055</v>
      </c>
      <c r="U25" t="n">
        <v>6382812.55</v>
      </c>
      <c r="V25" t="n">
        <v>5744531.3</v>
      </c>
      <c r="W25" t="inlineStr">
        <is>
          <t xml:space="preserve">ebrahim  / r ayman </t>
        </is>
      </c>
    </row>
    <row r="26">
      <c r="B26" t="inlineStr">
        <is>
          <t>Apt-108</t>
        </is>
      </c>
      <c r="C26" t="inlineStr">
        <is>
          <t>APARTMENT</t>
        </is>
      </c>
      <c r="E26" t="inlineStr">
        <is>
          <t>Block A</t>
        </is>
      </c>
      <c r="F26" t="inlineStr">
        <is>
          <t>1</t>
        </is>
      </c>
      <c r="H26" t="n">
        <v>0</v>
      </c>
      <c r="L26" t="inlineStr">
        <is>
          <t>Bedrooms: 2, Toilets: 2</t>
        </is>
      </c>
      <c r="M26" t="inlineStr">
        <is>
          <t>First Floor</t>
        </is>
      </c>
      <c r="N26" t="n">
        <v>103.95</v>
      </c>
      <c r="O26" t="n">
        <v>138.77</v>
      </c>
      <c r="P26" t="n">
        <v>2</v>
      </c>
      <c r="Q26" t="n">
        <v>2</v>
      </c>
      <c r="R26" t="n">
        <v>38500</v>
      </c>
      <c r="S26" t="n">
        <v>39600</v>
      </c>
      <c r="T26" t="n">
        <v>37620</v>
      </c>
      <c r="U26" t="n">
        <v>5495420.7</v>
      </c>
      <c r="V26" t="n">
        <v>4945878.63</v>
      </c>
    </row>
    <row r="27">
      <c r="B27" t="inlineStr">
        <is>
          <t>Apt-201</t>
        </is>
      </c>
      <c r="C27" t="inlineStr">
        <is>
          <t>APARTMENT</t>
        </is>
      </c>
      <c r="E27" t="inlineStr">
        <is>
          <t>Block A</t>
        </is>
      </c>
      <c r="F27" t="inlineStr">
        <is>
          <t>2</t>
        </is>
      </c>
      <c r="H27" t="n">
        <v>0</v>
      </c>
      <c r="L27" t="inlineStr">
        <is>
          <t>Bedrooms: 2, Toilets: 2</t>
        </is>
      </c>
      <c r="M27" t="inlineStr">
        <is>
          <t>Second Floor</t>
        </is>
      </c>
      <c r="N27" t="n">
        <v>103.95</v>
      </c>
      <c r="O27" t="n">
        <v>138.77</v>
      </c>
      <c r="P27" t="n">
        <v>2</v>
      </c>
      <c r="Q27" t="n">
        <v>2</v>
      </c>
      <c r="R27" t="n">
        <v>38500</v>
      </c>
      <c r="S27" t="n">
        <v>40000</v>
      </c>
      <c r="T27" t="n">
        <v>38000</v>
      </c>
      <c r="U27" t="n">
        <v>5550930</v>
      </c>
      <c r="V27" t="n">
        <v>4995837</v>
      </c>
      <c r="W27" t="inlineStr">
        <is>
          <t>e5las  / r ayman</t>
        </is>
      </c>
    </row>
    <row r="28">
      <c r="B28" t="inlineStr">
        <is>
          <t>Apt-202</t>
        </is>
      </c>
      <c r="C28" t="inlineStr">
        <is>
          <t>APARTMENT</t>
        </is>
      </c>
      <c r="E28" t="inlineStr">
        <is>
          <t>Block A</t>
        </is>
      </c>
      <c r="F28" t="inlineStr">
        <is>
          <t>2</t>
        </is>
      </c>
      <c r="H28" t="n">
        <v>0</v>
      </c>
      <c r="L28" t="inlineStr">
        <is>
          <t>Bedrooms: 3, Toilets: 3</t>
        </is>
      </c>
      <c r="M28" t="inlineStr">
        <is>
          <t>Second Floor</t>
        </is>
      </c>
      <c r="N28" t="n">
        <v>129.57</v>
      </c>
      <c r="O28" t="n">
        <v>172.98</v>
      </c>
      <c r="P28" t="n">
        <v>3</v>
      </c>
      <c r="Q28" t="n">
        <v>3</v>
      </c>
      <c r="R28" t="n">
        <v>35800</v>
      </c>
      <c r="S28" t="n">
        <v>37300</v>
      </c>
      <c r="T28" t="n">
        <v>35435</v>
      </c>
      <c r="U28" t="n">
        <v>6452002.93</v>
      </c>
      <c r="V28" t="n">
        <v>5806802.64</v>
      </c>
      <c r="W28" t="inlineStr">
        <is>
          <t>m farag / ghandour</t>
        </is>
      </c>
    </row>
    <row r="29">
      <c r="B29" t="inlineStr">
        <is>
          <t>Apt-203</t>
        </is>
      </c>
      <c r="C29" t="inlineStr">
        <is>
          <t>APARTMENT</t>
        </is>
      </c>
      <c r="E29" t="inlineStr">
        <is>
          <t>Block A</t>
        </is>
      </c>
      <c r="F29" t="inlineStr">
        <is>
          <t>2</t>
        </is>
      </c>
      <c r="H29" t="n">
        <v>0</v>
      </c>
      <c r="L29" t="inlineStr">
        <is>
          <t>Bedrooms: 3, Toilets: 3</t>
        </is>
      </c>
      <c r="M29" t="inlineStr">
        <is>
          <t>Second Floor</t>
        </is>
      </c>
      <c r="N29" t="n">
        <v>129.57</v>
      </c>
      <c r="O29" t="n">
        <v>172.98</v>
      </c>
      <c r="P29" t="n">
        <v>3</v>
      </c>
      <c r="Q29" t="n">
        <v>3</v>
      </c>
      <c r="R29" t="n">
        <v>35800</v>
      </c>
      <c r="S29" t="n">
        <v>36600</v>
      </c>
      <c r="T29" t="n">
        <v>34770</v>
      </c>
      <c r="U29" t="n">
        <v>6330919.77</v>
      </c>
      <c r="V29" t="n">
        <v>5697827.79</v>
      </c>
    </row>
    <row r="30">
      <c r="B30" t="inlineStr">
        <is>
          <t>Apt-204</t>
        </is>
      </c>
      <c r="C30" t="inlineStr">
        <is>
          <t>APARTMENT</t>
        </is>
      </c>
      <c r="E30" t="inlineStr">
        <is>
          <t>Block A</t>
        </is>
      </c>
      <c r="F30" t="inlineStr">
        <is>
          <t>2</t>
        </is>
      </c>
      <c r="H30" t="n">
        <v>0</v>
      </c>
      <c r="L30" t="inlineStr">
        <is>
          <t>Bedrooms: 2, Toilets: 2</t>
        </is>
      </c>
      <c r="M30" t="inlineStr">
        <is>
          <t>Second Floor</t>
        </is>
      </c>
      <c r="N30" t="n">
        <v>94.5</v>
      </c>
      <c r="O30" t="n">
        <v>126.16</v>
      </c>
      <c r="P30" t="n">
        <v>2</v>
      </c>
      <c r="Q30" t="n">
        <v>2</v>
      </c>
      <c r="R30" t="n">
        <v>38500</v>
      </c>
      <c r="S30" t="n">
        <v>39300</v>
      </c>
      <c r="T30" t="n">
        <v>37335</v>
      </c>
      <c r="U30" t="n">
        <v>4957989.75</v>
      </c>
      <c r="V30" t="n">
        <v>4462190.78</v>
      </c>
      <c r="W30" t="inlineStr">
        <is>
          <t>hamdy</t>
        </is>
      </c>
    </row>
    <row r="31">
      <c r="B31" t="inlineStr">
        <is>
          <t>Apt-205</t>
        </is>
      </c>
      <c r="C31" t="inlineStr">
        <is>
          <t>APARTMENT</t>
        </is>
      </c>
      <c r="E31" t="inlineStr">
        <is>
          <t>Block A</t>
        </is>
      </c>
      <c r="F31" t="inlineStr">
        <is>
          <t>2</t>
        </is>
      </c>
      <c r="H31" t="n">
        <v>0</v>
      </c>
      <c r="L31" t="inlineStr">
        <is>
          <t>Bedrooms: 2, Toilets: 2</t>
        </is>
      </c>
      <c r="M31" t="inlineStr">
        <is>
          <t>Second Floor</t>
        </is>
      </c>
      <c r="N31" t="n">
        <v>97.05</v>
      </c>
      <c r="O31" t="n">
        <v>129.56</v>
      </c>
      <c r="P31" t="n">
        <v>2</v>
      </c>
      <c r="Q31" t="n">
        <v>2</v>
      </c>
      <c r="R31" t="n">
        <v>38500</v>
      </c>
      <c r="S31" t="n">
        <v>39300</v>
      </c>
      <c r="T31" t="n">
        <v>37335</v>
      </c>
      <c r="U31" t="n">
        <v>5091776.77</v>
      </c>
      <c r="V31" t="n">
        <v>4582599.1</v>
      </c>
      <c r="W31" t="inlineStr">
        <is>
          <t>ali / eng mahmoud</t>
        </is>
      </c>
    </row>
    <row r="32">
      <c r="B32" t="inlineStr">
        <is>
          <t>Apt-206</t>
        </is>
      </c>
      <c r="C32" t="inlineStr">
        <is>
          <t>APARTMENT</t>
        </is>
      </c>
      <c r="E32" t="inlineStr">
        <is>
          <t>Block A</t>
        </is>
      </c>
      <c r="F32" t="inlineStr">
        <is>
          <t>2</t>
        </is>
      </c>
      <c r="H32" t="n">
        <v>0</v>
      </c>
      <c r="L32" t="inlineStr">
        <is>
          <t>Bedrooms: 3, Toilets: 3</t>
        </is>
      </c>
      <c r="M32" t="inlineStr">
        <is>
          <t>Second Floor</t>
        </is>
      </c>
      <c r="N32" t="n">
        <v>129.57</v>
      </c>
      <c r="O32" t="n">
        <v>172.98</v>
      </c>
      <c r="P32" t="n">
        <v>3</v>
      </c>
      <c r="Q32" t="n">
        <v>3</v>
      </c>
      <c r="R32" t="n">
        <v>35800</v>
      </c>
      <c r="S32" t="n">
        <v>36800</v>
      </c>
      <c r="T32" t="n">
        <v>34960</v>
      </c>
      <c r="U32" t="n">
        <v>6365514.96</v>
      </c>
      <c r="V32" t="n">
        <v>5728963.46</v>
      </c>
    </row>
    <row r="33">
      <c r="B33" t="inlineStr">
        <is>
          <t>Apt-207</t>
        </is>
      </c>
      <c r="C33" t="inlineStr">
        <is>
          <t>APARTMENT</t>
        </is>
      </c>
      <c r="E33" t="inlineStr">
        <is>
          <t>Block A</t>
        </is>
      </c>
      <c r="F33" t="inlineStr">
        <is>
          <t>2</t>
        </is>
      </c>
      <c r="H33" t="n">
        <v>0</v>
      </c>
      <c r="L33" t="inlineStr">
        <is>
          <t>Bedrooms: 3, Toilets: 3</t>
        </is>
      </c>
      <c r="M33" t="inlineStr">
        <is>
          <t>Second Floor</t>
        </is>
      </c>
      <c r="N33" t="n">
        <v>129.57</v>
      </c>
      <c r="O33" t="n">
        <v>172.98</v>
      </c>
      <c r="P33" t="n">
        <v>3</v>
      </c>
      <c r="Q33" t="n">
        <v>3</v>
      </c>
      <c r="R33" t="n">
        <v>35800</v>
      </c>
      <c r="S33" t="n">
        <v>37300</v>
      </c>
      <c r="T33" t="n">
        <v>35435</v>
      </c>
      <c r="U33" t="n">
        <v>6452002.93</v>
      </c>
      <c r="V33" t="n">
        <v>5806802.64</v>
      </c>
      <c r="W33" t="inlineStr">
        <is>
          <t>maged / r ayman</t>
        </is>
      </c>
    </row>
    <row r="34">
      <c r="B34" t="inlineStr">
        <is>
          <t>Apt-208</t>
        </is>
      </c>
      <c r="C34" t="inlineStr">
        <is>
          <t>APARTMENT</t>
        </is>
      </c>
      <c r="E34" t="inlineStr">
        <is>
          <t>Block A</t>
        </is>
      </c>
      <c r="F34" t="inlineStr">
        <is>
          <t>2</t>
        </is>
      </c>
      <c r="H34" t="n">
        <v>0</v>
      </c>
      <c r="L34" t="inlineStr">
        <is>
          <t>Bedrooms: 2, Toilets: 2</t>
        </is>
      </c>
      <c r="M34" t="inlineStr">
        <is>
          <t>Second Floor</t>
        </is>
      </c>
      <c r="N34" t="n">
        <v>103.95</v>
      </c>
      <c r="O34" t="n">
        <v>138.77</v>
      </c>
      <c r="P34" t="n">
        <v>2</v>
      </c>
      <c r="Q34" t="n">
        <v>2</v>
      </c>
      <c r="R34" t="n">
        <v>38500</v>
      </c>
      <c r="S34" t="n">
        <v>40000</v>
      </c>
      <c r="T34" t="n">
        <v>38000</v>
      </c>
      <c r="U34" t="n">
        <v>5550930</v>
      </c>
      <c r="V34" t="n">
        <v>4995837</v>
      </c>
      <c r="W34" t="inlineStr">
        <is>
          <t>e5las / r ayman</t>
        </is>
      </c>
    </row>
    <row r="35">
      <c r="B35" t="inlineStr">
        <is>
          <t>Apt-301</t>
        </is>
      </c>
      <c r="C35" t="inlineStr">
        <is>
          <t>APARTMENT</t>
        </is>
      </c>
      <c r="E35" t="inlineStr">
        <is>
          <t>Block A</t>
        </is>
      </c>
      <c r="F35" t="inlineStr">
        <is>
          <t>3</t>
        </is>
      </c>
      <c r="H35" t="n">
        <v>0</v>
      </c>
      <c r="L35" t="inlineStr">
        <is>
          <t>Bedrooms: 2, Toilets: 2</t>
        </is>
      </c>
      <c r="M35" t="inlineStr">
        <is>
          <t>Third Floor</t>
        </is>
      </c>
      <c r="N35" t="n">
        <v>103.95</v>
      </c>
      <c r="O35" t="n">
        <v>138.77</v>
      </c>
      <c r="P35" t="n">
        <v>2</v>
      </c>
      <c r="Q35" t="n">
        <v>2</v>
      </c>
      <c r="R35" t="n">
        <v>38500</v>
      </c>
      <c r="S35" t="n">
        <v>39600</v>
      </c>
      <c r="T35" t="n">
        <v>37620</v>
      </c>
      <c r="U35" t="n">
        <v>5495420.7</v>
      </c>
      <c r="V35" t="n">
        <v>4945878.63</v>
      </c>
    </row>
    <row r="36">
      <c r="B36" t="inlineStr">
        <is>
          <t>Apt-302</t>
        </is>
      </c>
      <c r="C36" t="inlineStr">
        <is>
          <t>APARTMENT</t>
        </is>
      </c>
      <c r="E36" t="inlineStr">
        <is>
          <t>Block A</t>
        </is>
      </c>
      <c r="F36" t="inlineStr">
        <is>
          <t>3</t>
        </is>
      </c>
      <c r="H36" t="n">
        <v>0</v>
      </c>
      <c r="L36" t="inlineStr">
        <is>
          <t>Bedrooms: 3, Toilets: 3</t>
        </is>
      </c>
      <c r="M36" t="inlineStr">
        <is>
          <t>Third Floor</t>
        </is>
      </c>
      <c r="N36" t="n">
        <v>129.57</v>
      </c>
      <c r="O36" t="n">
        <v>172.98</v>
      </c>
      <c r="P36" t="n">
        <v>3</v>
      </c>
      <c r="Q36" t="n">
        <v>3</v>
      </c>
      <c r="R36" t="n">
        <v>35800</v>
      </c>
      <c r="S36" t="n">
        <v>36900</v>
      </c>
      <c r="T36" t="n">
        <v>35055</v>
      </c>
      <c r="U36" t="n">
        <v>6382812.55</v>
      </c>
      <c r="V36" t="n">
        <v>5744531.3</v>
      </c>
      <c r="W36" t="inlineStr">
        <is>
          <t>abdelrahman  / alaa</t>
        </is>
      </c>
    </row>
    <row r="37">
      <c r="B37" t="inlineStr">
        <is>
          <t>Apt-303</t>
        </is>
      </c>
      <c r="C37" t="inlineStr">
        <is>
          <t>APARTMENT</t>
        </is>
      </c>
      <c r="E37" t="inlineStr">
        <is>
          <t>Block A</t>
        </is>
      </c>
      <c r="F37" t="inlineStr">
        <is>
          <t>3</t>
        </is>
      </c>
      <c r="H37" t="n">
        <v>0</v>
      </c>
      <c r="L37" t="inlineStr">
        <is>
          <t>Bedrooms: 3, Toilets: 3</t>
        </is>
      </c>
      <c r="M37" t="inlineStr">
        <is>
          <t>Third Floor</t>
        </is>
      </c>
      <c r="N37" t="n">
        <v>129.57</v>
      </c>
      <c r="O37" t="n">
        <v>172.98</v>
      </c>
      <c r="P37" t="n">
        <v>3</v>
      </c>
      <c r="Q37" t="n">
        <v>3</v>
      </c>
      <c r="R37" t="n">
        <v>35800</v>
      </c>
      <c r="S37" t="n">
        <v>36200</v>
      </c>
      <c r="T37" t="n">
        <v>34390</v>
      </c>
      <c r="U37" t="n">
        <v>6261729.39</v>
      </c>
      <c r="V37" t="n">
        <v>5635556.45</v>
      </c>
      <c r="W37" t="inlineStr">
        <is>
          <t>eman  / peter</t>
        </is>
      </c>
    </row>
    <row r="38">
      <c r="B38" t="inlineStr">
        <is>
          <t>Apt-304</t>
        </is>
      </c>
      <c r="C38" t="inlineStr">
        <is>
          <t>APARTMENT</t>
        </is>
      </c>
      <c r="E38" t="inlineStr">
        <is>
          <t>Block A</t>
        </is>
      </c>
      <c r="F38" t="inlineStr">
        <is>
          <t>3</t>
        </is>
      </c>
      <c r="H38" t="n">
        <v>0</v>
      </c>
      <c r="L38" t="inlineStr">
        <is>
          <t>Bedrooms: 2, Toilets: 2</t>
        </is>
      </c>
      <c r="M38" t="inlineStr">
        <is>
          <t>Third Floor</t>
        </is>
      </c>
      <c r="N38" t="n">
        <v>94.5</v>
      </c>
      <c r="O38" t="n">
        <v>126.16</v>
      </c>
      <c r="P38" t="n">
        <v>2</v>
      </c>
      <c r="Q38" t="n">
        <v>2</v>
      </c>
      <c r="R38" t="n">
        <v>38500</v>
      </c>
      <c r="S38" t="n">
        <v>38900</v>
      </c>
      <c r="T38" t="n">
        <v>36955</v>
      </c>
      <c r="U38" t="n">
        <v>4907526.75</v>
      </c>
      <c r="V38" t="n">
        <v>4416774.08</v>
      </c>
    </row>
    <row r="39">
      <c r="B39" t="inlineStr">
        <is>
          <t>Apt-305</t>
        </is>
      </c>
      <c r="C39" t="inlineStr">
        <is>
          <t>APARTMENT</t>
        </is>
      </c>
      <c r="E39" t="inlineStr">
        <is>
          <t>Block A</t>
        </is>
      </c>
      <c r="F39" t="inlineStr">
        <is>
          <t>3</t>
        </is>
      </c>
      <c r="H39" t="n">
        <v>0</v>
      </c>
      <c r="L39" t="inlineStr">
        <is>
          <t>Bedrooms: 2, Toilets: 2</t>
        </is>
      </c>
      <c r="M39" t="inlineStr">
        <is>
          <t>Third Floor</t>
        </is>
      </c>
      <c r="N39" t="n">
        <v>97.05</v>
      </c>
      <c r="O39" t="n">
        <v>129.56</v>
      </c>
      <c r="P39" t="n">
        <v>2</v>
      </c>
      <c r="Q39" t="n">
        <v>2</v>
      </c>
      <c r="R39" t="n">
        <v>38500</v>
      </c>
      <c r="S39" t="n">
        <v>38900</v>
      </c>
      <c r="T39" t="n">
        <v>36955</v>
      </c>
      <c r="U39" t="n">
        <v>5039952.07</v>
      </c>
      <c r="V39" t="n">
        <v>4535956.87</v>
      </c>
    </row>
    <row r="40">
      <c r="B40" t="inlineStr">
        <is>
          <t>Apt-306</t>
        </is>
      </c>
      <c r="C40" t="inlineStr">
        <is>
          <t>APARTMENT</t>
        </is>
      </c>
      <c r="E40" t="inlineStr">
        <is>
          <t>Block A</t>
        </is>
      </c>
      <c r="F40" t="inlineStr">
        <is>
          <t>3</t>
        </is>
      </c>
      <c r="H40" t="n">
        <v>0</v>
      </c>
      <c r="L40" t="inlineStr">
        <is>
          <t>Bedrooms: 3, Toilets: 3</t>
        </is>
      </c>
      <c r="M40" t="inlineStr">
        <is>
          <t>Third Floor</t>
        </is>
      </c>
      <c r="N40" t="n">
        <v>129.57</v>
      </c>
      <c r="O40" t="n">
        <v>172.98</v>
      </c>
      <c r="P40" t="n">
        <v>3</v>
      </c>
      <c r="Q40" t="n">
        <v>3</v>
      </c>
      <c r="R40" t="n">
        <v>35800</v>
      </c>
      <c r="S40" t="n">
        <v>36400</v>
      </c>
      <c r="T40" t="n">
        <v>34580</v>
      </c>
      <c r="U40" t="n">
        <v>6296324.58</v>
      </c>
      <c r="V40" t="n">
        <v>5666692.12</v>
      </c>
    </row>
    <row r="41">
      <c r="B41" t="inlineStr">
        <is>
          <t>Apt-307</t>
        </is>
      </c>
      <c r="C41" t="inlineStr">
        <is>
          <t>APARTMENT</t>
        </is>
      </c>
      <c r="E41" t="inlineStr">
        <is>
          <t>Block A</t>
        </is>
      </c>
      <c r="F41" t="inlineStr">
        <is>
          <t>3</t>
        </is>
      </c>
      <c r="H41" t="n">
        <v>0</v>
      </c>
      <c r="L41" t="inlineStr">
        <is>
          <t>Bedrooms: 3, Toilets: 3</t>
        </is>
      </c>
      <c r="M41" t="inlineStr">
        <is>
          <t>Third Floor</t>
        </is>
      </c>
      <c r="N41" t="n">
        <v>129.57</v>
      </c>
      <c r="O41" t="n">
        <v>172.98</v>
      </c>
      <c r="P41" t="n">
        <v>3</v>
      </c>
      <c r="Q41" t="n">
        <v>3</v>
      </c>
      <c r="R41" t="n">
        <v>35800</v>
      </c>
      <c r="S41" t="n">
        <v>36900</v>
      </c>
      <c r="T41" t="n">
        <v>35055</v>
      </c>
      <c r="U41" t="n">
        <v>6382812.55</v>
      </c>
      <c r="V41" t="n">
        <v>5744531.3</v>
      </c>
      <c r="W41" t="inlineStr">
        <is>
          <t>ref3at  / maged</t>
        </is>
      </c>
    </row>
    <row r="42">
      <c r="B42" t="inlineStr">
        <is>
          <t>Apt-308</t>
        </is>
      </c>
      <c r="C42" t="inlineStr">
        <is>
          <t>APARTMENT</t>
        </is>
      </c>
      <c r="E42" t="inlineStr">
        <is>
          <t>Block A</t>
        </is>
      </c>
      <c r="F42" t="inlineStr">
        <is>
          <t>3</t>
        </is>
      </c>
      <c r="H42" t="n">
        <v>0</v>
      </c>
      <c r="L42" t="inlineStr">
        <is>
          <t>Bedrooms: 2, Toilets: 2</t>
        </is>
      </c>
      <c r="M42" t="inlineStr">
        <is>
          <t>Third Floor</t>
        </is>
      </c>
      <c r="N42" t="n">
        <v>103.95</v>
      </c>
      <c r="O42" t="n">
        <v>138.77</v>
      </c>
      <c r="P42" t="n">
        <v>2</v>
      </c>
      <c r="Q42" t="n">
        <v>2</v>
      </c>
      <c r="R42" t="n">
        <v>38500</v>
      </c>
      <c r="S42" t="n">
        <v>39600</v>
      </c>
      <c r="T42" t="n">
        <v>37620</v>
      </c>
      <c r="U42" t="n">
        <v>5495420.7</v>
      </c>
      <c r="V42" t="n">
        <v>4945878.63</v>
      </c>
    </row>
    <row r="43">
      <c r="B43" t="inlineStr">
        <is>
          <t>Apt-401</t>
        </is>
      </c>
      <c r="C43" t="inlineStr">
        <is>
          <t>APARTMENT</t>
        </is>
      </c>
      <c r="E43" t="inlineStr">
        <is>
          <t>Block A</t>
        </is>
      </c>
      <c r="F43" t="inlineStr">
        <is>
          <t>4</t>
        </is>
      </c>
      <c r="H43" t="n">
        <v>0</v>
      </c>
      <c r="L43" t="inlineStr">
        <is>
          <t>Bedrooms: 2, Toilets: 2</t>
        </is>
      </c>
      <c r="M43" t="inlineStr">
        <is>
          <t>Fourth Floor</t>
        </is>
      </c>
      <c r="N43" t="n">
        <v>103.95</v>
      </c>
      <c r="O43" t="n">
        <v>138.77</v>
      </c>
      <c r="P43" t="n">
        <v>2</v>
      </c>
      <c r="Q43" t="n">
        <v>2</v>
      </c>
      <c r="R43" t="n">
        <v>38500</v>
      </c>
      <c r="S43" t="n">
        <v>39400</v>
      </c>
      <c r="T43" t="n">
        <v>37430</v>
      </c>
      <c r="U43" t="n">
        <v>5467666.05</v>
      </c>
      <c r="V43" t="n">
        <v>4920899.45</v>
      </c>
    </row>
    <row r="44">
      <c r="B44" t="inlineStr">
        <is>
          <t>Apt-402</t>
        </is>
      </c>
      <c r="C44" t="inlineStr">
        <is>
          <t>APARTMENT</t>
        </is>
      </c>
      <c r="E44" t="inlineStr">
        <is>
          <t>Block A</t>
        </is>
      </c>
      <c r="F44" t="inlineStr">
        <is>
          <t>4</t>
        </is>
      </c>
      <c r="H44" t="n">
        <v>0</v>
      </c>
      <c r="L44" t="inlineStr">
        <is>
          <t>Bedrooms: 3, Toilets: 3</t>
        </is>
      </c>
      <c r="M44" t="inlineStr">
        <is>
          <t>Fourth Floor</t>
        </is>
      </c>
      <c r="N44" t="n">
        <v>129.57</v>
      </c>
      <c r="O44" t="n">
        <v>172.98</v>
      </c>
      <c r="P44" t="n">
        <v>3</v>
      </c>
      <c r="Q44" t="n">
        <v>3</v>
      </c>
      <c r="R44" t="n">
        <v>35800</v>
      </c>
      <c r="S44" t="n">
        <v>36700</v>
      </c>
      <c r="T44" t="n">
        <v>34865</v>
      </c>
      <c r="U44" t="n">
        <v>6348217.36</v>
      </c>
      <c r="V44" t="n">
        <v>5713395.63</v>
      </c>
      <c r="W44" t="inlineStr">
        <is>
          <t>el sa3eed  / maged</t>
        </is>
      </c>
    </row>
    <row r="45">
      <c r="B45" t="inlineStr">
        <is>
          <t>Apt-403</t>
        </is>
      </c>
      <c r="C45" t="inlineStr">
        <is>
          <t>APARTMENT</t>
        </is>
      </c>
      <c r="E45" t="inlineStr">
        <is>
          <t>Block A</t>
        </is>
      </c>
      <c r="F45" t="inlineStr">
        <is>
          <t>4</t>
        </is>
      </c>
      <c r="H45" t="n">
        <v>0</v>
      </c>
      <c r="L45" t="inlineStr">
        <is>
          <t>Bedrooms: 3, Toilets: 3</t>
        </is>
      </c>
      <c r="M45" t="inlineStr">
        <is>
          <t>Fourth Floor</t>
        </is>
      </c>
      <c r="N45" t="n">
        <v>129.57</v>
      </c>
      <c r="O45" t="n">
        <v>172.98</v>
      </c>
      <c r="P45" t="n">
        <v>3</v>
      </c>
      <c r="Q45" t="n">
        <v>3</v>
      </c>
      <c r="R45" t="n">
        <v>35800</v>
      </c>
      <c r="S45" t="n">
        <v>36000</v>
      </c>
      <c r="T45" t="n">
        <v>34200</v>
      </c>
      <c r="U45" t="n">
        <v>6227134.2</v>
      </c>
      <c r="V45" t="n">
        <v>5604420.78</v>
      </c>
    </row>
    <row r="46">
      <c r="B46" t="inlineStr">
        <is>
          <t>Apt-404</t>
        </is>
      </c>
      <c r="C46" t="inlineStr">
        <is>
          <t>APARTMENT</t>
        </is>
      </c>
      <c r="E46" t="inlineStr">
        <is>
          <t>Block A</t>
        </is>
      </c>
      <c r="F46" t="inlineStr">
        <is>
          <t>4</t>
        </is>
      </c>
      <c r="H46" t="n">
        <v>0</v>
      </c>
      <c r="L46" t="inlineStr">
        <is>
          <t>Bedrooms: 2, Toilets: 2</t>
        </is>
      </c>
      <c r="M46" t="inlineStr">
        <is>
          <t>Fourth Floor</t>
        </is>
      </c>
      <c r="N46" t="n">
        <v>94.5</v>
      </c>
      <c r="O46" t="n">
        <v>126.16</v>
      </c>
      <c r="P46" t="n">
        <v>2</v>
      </c>
      <c r="Q46" t="n">
        <v>2</v>
      </c>
      <c r="R46" t="n">
        <v>38500</v>
      </c>
      <c r="S46" t="n">
        <v>38700</v>
      </c>
      <c r="T46" t="n">
        <v>36765</v>
      </c>
      <c r="U46" t="n">
        <v>4882295.25</v>
      </c>
      <c r="V46" t="n">
        <v>4394065.73</v>
      </c>
    </row>
    <row r="47">
      <c r="B47" t="inlineStr">
        <is>
          <t>Apt-405</t>
        </is>
      </c>
      <c r="C47" t="inlineStr">
        <is>
          <t>APARTMENT</t>
        </is>
      </c>
      <c r="E47" t="inlineStr">
        <is>
          <t>Block A</t>
        </is>
      </c>
      <c r="F47" t="inlineStr">
        <is>
          <t>4</t>
        </is>
      </c>
      <c r="H47" t="n">
        <v>0</v>
      </c>
      <c r="L47" t="inlineStr">
        <is>
          <t>Bedrooms: 2, Toilets: 2</t>
        </is>
      </c>
      <c r="M47" t="inlineStr">
        <is>
          <t>Fourth Floor</t>
        </is>
      </c>
      <c r="N47" t="n">
        <v>97.05</v>
      </c>
      <c r="O47" t="n">
        <v>129.56</v>
      </c>
      <c r="P47" t="n">
        <v>2</v>
      </c>
      <c r="Q47" t="n">
        <v>2</v>
      </c>
      <c r="R47" t="n">
        <v>38500</v>
      </c>
      <c r="S47" t="n">
        <v>38700</v>
      </c>
      <c r="T47" t="n">
        <v>36765</v>
      </c>
      <c r="U47" t="n">
        <v>5014039.72</v>
      </c>
      <c r="V47" t="n">
        <v>4512635.75</v>
      </c>
    </row>
    <row r="48">
      <c r="B48" t="inlineStr">
        <is>
          <t>Apt-406</t>
        </is>
      </c>
      <c r="C48" t="inlineStr">
        <is>
          <t>APARTMENT</t>
        </is>
      </c>
      <c r="E48" t="inlineStr">
        <is>
          <t>Block A</t>
        </is>
      </c>
      <c r="F48" t="inlineStr">
        <is>
          <t>4</t>
        </is>
      </c>
      <c r="H48" t="n">
        <v>0</v>
      </c>
      <c r="L48" t="inlineStr">
        <is>
          <t>Bedrooms: 3, Toilets: 3</t>
        </is>
      </c>
      <c r="M48" t="inlineStr">
        <is>
          <t>Fourth Floor</t>
        </is>
      </c>
      <c r="N48" t="n">
        <v>129.57</v>
      </c>
      <c r="O48" t="n">
        <v>172.98</v>
      </c>
      <c r="P48" t="n">
        <v>3</v>
      </c>
      <c r="Q48" t="n">
        <v>3</v>
      </c>
      <c r="R48" t="n">
        <v>35800</v>
      </c>
      <c r="S48" t="n">
        <v>36200</v>
      </c>
      <c r="T48" t="n">
        <v>34390</v>
      </c>
      <c r="U48" t="n">
        <v>6261729.39</v>
      </c>
      <c r="V48" t="n">
        <v>5635556.45</v>
      </c>
    </row>
    <row r="49">
      <c r="B49" t="inlineStr">
        <is>
          <t>Apt-407</t>
        </is>
      </c>
      <c r="C49" t="inlineStr">
        <is>
          <t>APARTMENT</t>
        </is>
      </c>
      <c r="E49" t="inlineStr">
        <is>
          <t>Block A</t>
        </is>
      </c>
      <c r="F49" t="inlineStr">
        <is>
          <t>4</t>
        </is>
      </c>
      <c r="H49" t="n">
        <v>0</v>
      </c>
      <c r="L49" t="inlineStr">
        <is>
          <t>Bedrooms: 3, Toilets: 3</t>
        </is>
      </c>
      <c r="M49" t="inlineStr">
        <is>
          <t>Fourth Floor</t>
        </is>
      </c>
      <c r="N49" t="n">
        <v>129.57</v>
      </c>
      <c r="O49" t="n">
        <v>172.98</v>
      </c>
      <c r="P49" t="n">
        <v>3</v>
      </c>
      <c r="Q49" t="n">
        <v>3</v>
      </c>
      <c r="R49" t="n">
        <v>35800</v>
      </c>
      <c r="S49" t="n">
        <v>36700</v>
      </c>
      <c r="T49" t="n">
        <v>34865</v>
      </c>
      <c r="U49" t="n">
        <v>6348217.36</v>
      </c>
      <c r="V49" t="n">
        <v>5713395.63</v>
      </c>
      <c r="W49" t="inlineStr">
        <is>
          <t>ref3at  / maged</t>
        </is>
      </c>
    </row>
    <row r="50">
      <c r="B50" t="inlineStr">
        <is>
          <t>Apt-408</t>
        </is>
      </c>
      <c r="C50" t="inlineStr">
        <is>
          <t>APARTMENT</t>
        </is>
      </c>
      <c r="E50" t="inlineStr">
        <is>
          <t>Block A</t>
        </is>
      </c>
      <c r="F50" t="inlineStr">
        <is>
          <t>4</t>
        </is>
      </c>
      <c r="H50" t="n">
        <v>0</v>
      </c>
      <c r="L50" t="inlineStr">
        <is>
          <t>Bedrooms: 2, Toilets: 2</t>
        </is>
      </c>
      <c r="M50" t="inlineStr">
        <is>
          <t>Fourth Floor</t>
        </is>
      </c>
      <c r="N50" t="n">
        <v>103.95</v>
      </c>
      <c r="O50" t="n">
        <v>138.77</v>
      </c>
      <c r="P50" t="n">
        <v>2</v>
      </c>
      <c r="Q50" t="n">
        <v>2</v>
      </c>
      <c r="R50" t="n">
        <v>38500</v>
      </c>
      <c r="S50" t="n">
        <v>39400</v>
      </c>
      <c r="T50" t="n">
        <v>37430</v>
      </c>
      <c r="U50" t="n">
        <v>5467666.05</v>
      </c>
      <c r="V50" t="n">
        <v>4920899.45</v>
      </c>
    </row>
    <row r="51">
      <c r="B51" t="inlineStr">
        <is>
          <t>Apt-501</t>
        </is>
      </c>
      <c r="C51" t="inlineStr">
        <is>
          <t>APARTMENT</t>
        </is>
      </c>
      <c r="E51" t="inlineStr">
        <is>
          <t>Block A</t>
        </is>
      </c>
      <c r="F51" t="inlineStr">
        <is>
          <t>5</t>
        </is>
      </c>
      <c r="H51" t="n">
        <v>0</v>
      </c>
      <c r="L51" t="inlineStr">
        <is>
          <t>Bedrooms: 2, Toilets: 2</t>
        </is>
      </c>
      <c r="M51" t="inlineStr">
        <is>
          <t>Fifth Floor</t>
        </is>
      </c>
      <c r="N51" t="n">
        <v>103.95</v>
      </c>
      <c r="O51" t="n">
        <v>138.77</v>
      </c>
      <c r="P51" t="n">
        <v>2</v>
      </c>
      <c r="Q51" t="n">
        <v>2</v>
      </c>
      <c r="R51" t="n">
        <v>38500</v>
      </c>
      <c r="S51" t="n">
        <v>39200</v>
      </c>
      <c r="T51" t="n">
        <v>37240</v>
      </c>
      <c r="U51" t="n">
        <v>5439911.4</v>
      </c>
      <c r="V51" t="n">
        <v>4895920.26</v>
      </c>
    </row>
    <row r="52">
      <c r="B52" t="inlineStr">
        <is>
          <t>Apt-502</t>
        </is>
      </c>
      <c r="C52" t="inlineStr">
        <is>
          <t>APARTMENT</t>
        </is>
      </c>
      <c r="E52" t="inlineStr">
        <is>
          <t>Block A</t>
        </is>
      </c>
      <c r="F52" t="inlineStr">
        <is>
          <t>5</t>
        </is>
      </c>
      <c r="H52" t="n">
        <v>0</v>
      </c>
      <c r="L52" t="inlineStr">
        <is>
          <t>Bedrooms: 3, Toilets: 3</t>
        </is>
      </c>
      <c r="M52" t="inlineStr">
        <is>
          <t>Fifth Floor</t>
        </is>
      </c>
      <c r="N52" t="n">
        <v>129.57</v>
      </c>
      <c r="O52" t="n">
        <v>172.98</v>
      </c>
      <c r="P52" t="n">
        <v>3</v>
      </c>
      <c r="Q52" t="n">
        <v>3</v>
      </c>
      <c r="R52" t="n">
        <v>35800</v>
      </c>
      <c r="S52" t="n">
        <v>36500</v>
      </c>
      <c r="T52" t="n">
        <v>34675</v>
      </c>
      <c r="U52" t="n">
        <v>6313622.17</v>
      </c>
      <c r="V52" t="n">
        <v>5682259.96</v>
      </c>
    </row>
    <row r="53">
      <c r="B53" t="inlineStr">
        <is>
          <t>Apt-503</t>
        </is>
      </c>
      <c r="C53" t="inlineStr">
        <is>
          <t>APARTMENT</t>
        </is>
      </c>
      <c r="E53" t="inlineStr">
        <is>
          <t>Block A</t>
        </is>
      </c>
      <c r="F53" t="inlineStr">
        <is>
          <t>5</t>
        </is>
      </c>
      <c r="H53" t="n">
        <v>0</v>
      </c>
      <c r="L53" t="inlineStr">
        <is>
          <t>Bedrooms: 3, Toilets: 3</t>
        </is>
      </c>
      <c r="M53" t="inlineStr">
        <is>
          <t>Fifth Floor</t>
        </is>
      </c>
      <c r="N53" t="n">
        <v>129.57</v>
      </c>
      <c r="O53" t="n">
        <v>172.98</v>
      </c>
      <c r="P53" t="n">
        <v>3</v>
      </c>
      <c r="Q53" t="n">
        <v>3</v>
      </c>
      <c r="R53" t="n">
        <v>35800</v>
      </c>
      <c r="S53" t="n">
        <v>35800</v>
      </c>
      <c r="T53" t="n">
        <v>34010</v>
      </c>
      <c r="U53" t="n">
        <v>6192539.01</v>
      </c>
      <c r="V53" t="n">
        <v>5573285.11</v>
      </c>
    </row>
    <row r="54">
      <c r="B54" t="inlineStr">
        <is>
          <t>Apt-504</t>
        </is>
      </c>
      <c r="C54" t="inlineStr">
        <is>
          <t>APARTMENT</t>
        </is>
      </c>
      <c r="E54" t="inlineStr">
        <is>
          <t>Block A</t>
        </is>
      </c>
      <c r="F54" t="inlineStr">
        <is>
          <t>5</t>
        </is>
      </c>
      <c r="H54" t="n">
        <v>0</v>
      </c>
      <c r="L54" t="inlineStr">
        <is>
          <t>Bedrooms: 2, Toilets: 2</t>
        </is>
      </c>
      <c r="M54" t="inlineStr">
        <is>
          <t>Fifth Floor</t>
        </is>
      </c>
      <c r="N54" t="n">
        <v>94.5</v>
      </c>
      <c r="O54" t="n">
        <v>126.16</v>
      </c>
      <c r="P54" t="n">
        <v>2</v>
      </c>
      <c r="Q54" t="n">
        <v>2</v>
      </c>
      <c r="R54" t="n">
        <v>38500</v>
      </c>
      <c r="S54" t="n">
        <v>38500</v>
      </c>
      <c r="T54" t="n">
        <v>36575</v>
      </c>
      <c r="U54" t="n">
        <v>4857063.75</v>
      </c>
      <c r="V54" t="n">
        <v>4371357.38</v>
      </c>
    </row>
    <row r="55">
      <c r="B55" t="inlineStr">
        <is>
          <t>Apt-505</t>
        </is>
      </c>
      <c r="C55" t="inlineStr">
        <is>
          <t>APARTMENT</t>
        </is>
      </c>
      <c r="E55" t="inlineStr">
        <is>
          <t>Block A</t>
        </is>
      </c>
      <c r="F55" t="inlineStr">
        <is>
          <t>5</t>
        </is>
      </c>
      <c r="H55" t="n">
        <v>0</v>
      </c>
      <c r="L55" t="inlineStr">
        <is>
          <t>Bedrooms: 2, Toilets: 2</t>
        </is>
      </c>
      <c r="M55" t="inlineStr">
        <is>
          <t>Fifth Floor</t>
        </is>
      </c>
      <c r="N55" t="n">
        <v>97.05</v>
      </c>
      <c r="O55" t="n">
        <v>129.56</v>
      </c>
      <c r="P55" t="n">
        <v>2</v>
      </c>
      <c r="Q55" t="n">
        <v>2</v>
      </c>
      <c r="R55" t="n">
        <v>38500</v>
      </c>
      <c r="S55" t="n">
        <v>38500</v>
      </c>
      <c r="T55" t="n">
        <v>36575</v>
      </c>
      <c r="U55" t="n">
        <v>4988127.38</v>
      </c>
      <c r="V55" t="n">
        <v>4489314.64</v>
      </c>
    </row>
    <row r="56">
      <c r="B56" t="inlineStr">
        <is>
          <t>Apt-506</t>
        </is>
      </c>
      <c r="C56" t="inlineStr">
        <is>
          <t>APARTMENT</t>
        </is>
      </c>
      <c r="E56" t="inlineStr">
        <is>
          <t>Block A</t>
        </is>
      </c>
      <c r="F56" t="inlineStr">
        <is>
          <t>5</t>
        </is>
      </c>
      <c r="H56" t="n">
        <v>0</v>
      </c>
      <c r="L56" t="inlineStr">
        <is>
          <t>Bedrooms: 3, Toilets: 3</t>
        </is>
      </c>
      <c r="M56" t="inlineStr">
        <is>
          <t>Fifth Floor</t>
        </is>
      </c>
      <c r="N56" t="n">
        <v>129.57</v>
      </c>
      <c r="O56" t="n">
        <v>172.98</v>
      </c>
      <c r="P56" t="n">
        <v>3</v>
      </c>
      <c r="Q56" t="n">
        <v>3</v>
      </c>
      <c r="R56" t="n">
        <v>35800</v>
      </c>
      <c r="S56" t="n">
        <v>36000</v>
      </c>
      <c r="T56" t="n">
        <v>34200</v>
      </c>
      <c r="U56" t="n">
        <v>6227134.2</v>
      </c>
      <c r="V56" t="n">
        <v>5604420.78</v>
      </c>
    </row>
    <row r="57">
      <c r="B57" t="inlineStr">
        <is>
          <t>Apt-507</t>
        </is>
      </c>
      <c r="C57" t="inlineStr">
        <is>
          <t>APARTMENT</t>
        </is>
      </c>
      <c r="E57" t="inlineStr">
        <is>
          <t>Block A</t>
        </is>
      </c>
      <c r="F57" t="inlineStr">
        <is>
          <t>5</t>
        </is>
      </c>
      <c r="H57" t="n">
        <v>0</v>
      </c>
      <c r="L57" t="inlineStr">
        <is>
          <t>Bedrooms: 3, Toilets: 3</t>
        </is>
      </c>
      <c r="M57" t="inlineStr">
        <is>
          <t>Fifth Floor</t>
        </is>
      </c>
      <c r="N57" t="n">
        <v>129.57</v>
      </c>
      <c r="O57" t="n">
        <v>172.98</v>
      </c>
      <c r="P57" t="n">
        <v>3</v>
      </c>
      <c r="Q57" t="n">
        <v>3</v>
      </c>
      <c r="R57" t="n">
        <v>35800</v>
      </c>
      <c r="S57" t="n">
        <v>36500</v>
      </c>
      <c r="T57" t="n">
        <v>34675</v>
      </c>
      <c r="U57" t="n">
        <v>6313622.17</v>
      </c>
      <c r="V57" t="n">
        <v>5682259.96</v>
      </c>
    </row>
    <row r="58">
      <c r="B58" t="inlineStr">
        <is>
          <t>Apt-508</t>
        </is>
      </c>
      <c r="C58" t="inlineStr">
        <is>
          <t>APARTMENT</t>
        </is>
      </c>
      <c r="E58" t="inlineStr">
        <is>
          <t>Block A</t>
        </is>
      </c>
      <c r="F58" t="inlineStr">
        <is>
          <t>5</t>
        </is>
      </c>
      <c r="H58" t="n">
        <v>0</v>
      </c>
      <c r="L58" t="inlineStr">
        <is>
          <t>Bedrooms: 2, Toilets: 2</t>
        </is>
      </c>
      <c r="M58" t="inlineStr">
        <is>
          <t>Fifth Floor</t>
        </is>
      </c>
      <c r="N58" t="n">
        <v>103.95</v>
      </c>
      <c r="O58" t="n">
        <v>138.77</v>
      </c>
      <c r="P58" t="n">
        <v>2</v>
      </c>
      <c r="Q58" t="n">
        <v>2</v>
      </c>
      <c r="R58" t="n">
        <v>38500</v>
      </c>
      <c r="S58" t="n">
        <v>39200</v>
      </c>
      <c r="T58" t="n">
        <v>37240</v>
      </c>
      <c r="U58" t="n">
        <v>5439911.4</v>
      </c>
      <c r="V58" t="n">
        <v>4895920.26</v>
      </c>
    </row>
  </sheetData>
  <mergeCells count="8">
    <mergeCell ref="A5:W5"/>
    <mergeCell ref="A1:W1"/>
    <mergeCell ref="A8:W8"/>
    <mergeCell ref="A6:W6"/>
    <mergeCell ref="A4:W4"/>
    <mergeCell ref="A3:W3"/>
    <mergeCell ref="A7:W7"/>
    <mergeCell ref="A2:W2"/>
  </mergeCells>
  <dataValidations count="1">
    <dataValidation sqref="K11:K58" showDropDown="0" showInputMessage="0" showErrorMessage="0" allowBlank="1" type="list">
      <formula1>"APARTMENT_AVAILABLE,APARTMENT_RESERVED,APARTMENT_SOLD"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Ahmed Ayman</dc:creator>
  <dcterms:created xsi:type="dcterms:W3CDTF">2015-06-05T18:17:20Z</dcterms:created>
  <dcterms:modified xsi:type="dcterms:W3CDTF">2026-07-20T06:43:04Z</dcterms:modified>
  <cp:lastModifiedBy>AHMED AGIBA</cp:lastModifiedBy>
</cp:coreProperties>
</file>