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بنود" sheetId="1" state="visible" r:id="rId1"/>
    <sheet name="مثال نسب الإنجاز" sheetId="2" state="visible" r:id="rId2"/>
    <sheet name="ملخص" sheetId="3" state="visible" r:id="rId3"/>
  </sheets>
  <definedNames>
    <definedName name="_xlnm._FilterDatabase" localSheetId="0" hidden="1">'البنود'!$A$1:$G$49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1"/>
    </font>
    <font>
      <name val="Arial"/>
      <b val="1"/>
      <sz val="12"/>
    </font>
    <font>
      <name val="Arial"/>
      <b val="1"/>
      <color rgb="00FFFFFF"/>
    </font>
    <font>
      <name val="Arial"/>
      <color rgb="000000FF"/>
    </font>
    <font>
      <name val="Arial"/>
      <color rgb="00000000"/>
    </font>
    <font>
      <name val="Arial"/>
      <b val="1"/>
    </font>
    <font>
      <name val="Arial"/>
      <sz val="10"/>
    </font>
    <font>
      <name val="Arial"/>
      <i val="1"/>
      <sz val="10"/>
    </font>
    <font>
      <name val="Arial"/>
    </font>
  </fonts>
  <fills count="5">
    <fill>
      <patternFill/>
    </fill>
    <fill>
      <patternFill patternType="gray125"/>
    </fill>
    <fill>
      <patternFill patternType="solid">
        <fgColor rgb="001B4FA8"/>
      </patternFill>
    </fill>
    <fill>
      <patternFill patternType="solid">
        <fgColor rgb="00FFF4D6"/>
      </patternFill>
    </fill>
    <fill>
      <patternFill patternType="solid">
        <fgColor rgb="00F3F5F8"/>
      </patternFill>
    </fill>
  </fills>
  <borders count="2">
    <border>
      <left/>
      <right/>
      <top/>
      <bottom/>
      <diagonal/>
    </border>
    <border>
      <left style="thin">
        <color rgb="00C8CFD8"/>
      </left>
      <right style="thin">
        <color rgb="00C8CFD8"/>
      </right>
      <top style="thin">
        <color rgb="00C8CFD8"/>
      </top>
      <bottom style="thin">
        <color rgb="00C8CFD8"/>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right" vertical="top" wrapText="1"/>
    </xf>
    <xf numFmtId="0" fontId="2" fillId="3" borderId="1" applyAlignment="1" pivotButton="0" quotePrefix="0" xfId="0">
      <alignment horizontal="center" vertical="top" wrapText="1"/>
    </xf>
    <xf numFmtId="0" fontId="2" fillId="3" borderId="1" applyAlignment="1" pivotButton="0" quotePrefix="0" xfId="0">
      <alignment horizontal="right" vertical="top" wrapText="1"/>
    </xf>
    <xf numFmtId="0" fontId="2" fillId="4" borderId="1" applyAlignment="1" pivotButton="0" quotePrefix="0" xfId="0">
      <alignment horizontal="center" vertical="top" wrapText="1"/>
    </xf>
    <xf numFmtId="0" fontId="2" fillId="4" borderId="1" applyAlignment="1" pivotButton="0" quotePrefix="0" xfId="0">
      <alignment horizontal="right" vertical="top" wrapText="1"/>
    </xf>
    <xf numFmtId="0" fontId="3" fillId="0" borderId="0" pivotButton="0" quotePrefix="0" xfId="0"/>
    <xf numFmtId="0" fontId="4" fillId="2" borderId="1" applyAlignment="1" pivotButton="0" quotePrefix="0" xfId="0">
      <alignment horizontal="center" wrapText="1"/>
    </xf>
    <xf numFmtId="3" fontId="5" fillId="0" borderId="1" applyAlignment="1" pivotButton="0" quotePrefix="0" xfId="0">
      <alignment horizontal="center"/>
    </xf>
    <xf numFmtId="0" fontId="6" fillId="0" borderId="1" applyAlignment="1" pivotButton="0" quotePrefix="0" xfId="0">
      <alignment horizontal="center"/>
    </xf>
    <xf numFmtId="9" fontId="5" fillId="0" borderId="1" applyAlignment="1" pivotButton="0" quotePrefix="0" xfId="0">
      <alignment horizontal="center"/>
    </xf>
    <xf numFmtId="3" fontId="6" fillId="0" borderId="1" applyAlignment="1" pivotButton="0" quotePrefix="0" xfId="0">
      <alignment horizontal="center"/>
    </xf>
    <xf numFmtId="0" fontId="7" fillId="0" borderId="0" pivotButton="0" quotePrefix="0" xfId="0"/>
    <xf numFmtId="0" fontId="8" fillId="0" borderId="0" pivotButton="0" quotePrefix="0" xfId="0"/>
    <xf numFmtId="0" fontId="9" fillId="0" borderId="0" pivotButton="0" quotePrefix="0" xfId="0"/>
    <xf numFmtId="0" fontId="4" fillId="2" borderId="1" applyAlignment="1" pivotButton="0" quotePrefix="0" xfId="0">
      <alignment horizontal="center"/>
    </xf>
    <xf numFmtId="0" fontId="10" fillId="0" borderId="1" applyAlignment="1" pivotButton="0" quotePrefix="0" xfId="0">
      <alignment horizontal="right"/>
    </xf>
    <xf numFmtId="0" fontId="10" fillId="0" borderId="1" applyAlignment="1" pivotButton="0" quotePrefix="0" xfId="0">
      <alignment horizontal="center"/>
    </xf>
    <xf numFmtId="0" fontId="7" fillId="0" borderId="1" applyAlignment="1" pivotButton="0" quotePrefix="0" xfId="0">
      <alignment horizontal="right"/>
    </xf>
    <xf numFmtId="0" fontId="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rightToLeft="1" workbookViewId="0">
      <pane ySplit="1" topLeftCell="A2" activePane="bottomLeft" state="frozen"/>
      <selection pane="bottomLeft" activeCell="A1" sqref="A1"/>
    </sheetView>
  </sheetViews>
  <sheetFormatPr baseColWidth="8" defaultRowHeight="15"/>
  <cols>
    <col width="6" customWidth="1" min="1" max="1"/>
    <col width="9" customWidth="1" min="2" max="2"/>
    <col width="26" customWidth="1" min="3" max="3"/>
    <col width="16" customWidth="1" min="4" max="4"/>
    <col width="95" customWidth="1" min="5" max="5"/>
    <col width="22" customWidth="1" min="6" max="6"/>
    <col width="16" customWidth="1" min="7" max="7"/>
  </cols>
  <sheetData>
    <row r="1" ht="30" customHeight="1">
      <c r="A1" s="1" t="inlineStr">
        <is>
          <t>م</t>
        </is>
      </c>
      <c r="B1" s="1" t="inlineStr">
        <is>
          <t>الصفحة</t>
        </is>
      </c>
      <c r="C1" s="1" t="inlineStr">
        <is>
          <t>القسم</t>
        </is>
      </c>
      <c r="D1" s="1" t="inlineStr">
        <is>
          <t>رقم البند في الأصل</t>
        </is>
      </c>
      <c r="E1" s="1" t="inlineStr">
        <is>
          <t>النص كما كُتب</t>
        </is>
      </c>
      <c r="F1" s="1" t="inlineStr">
        <is>
          <t>مصطلح إنجليزي في الأصل</t>
        </is>
      </c>
      <c r="G1" s="1" t="inlineStr">
        <is>
          <t>قراءة غير مؤكدة</t>
        </is>
      </c>
    </row>
    <row r="2" ht="20" customHeight="1">
      <c r="A2" s="2" t="n">
        <v>1</v>
      </c>
      <c r="B2" s="2" t="n">
        <v>1</v>
      </c>
      <c r="C2" s="3" t="inlineStr">
        <is>
          <t>التقارير والنظام عمومًا</t>
        </is>
      </c>
      <c r="D2" s="2" t="inlineStr">
        <is>
          <t>—</t>
        </is>
      </c>
      <c r="E2" s="3" t="inlineStr">
        <is>
          <t>إنشاء محرك خاص بالتقارير + Custom Report تفصيلي حسب الطلب.</t>
        </is>
      </c>
      <c r="F2" s="2" t="inlineStr">
        <is>
          <t>Custom Report</t>
        </is>
      </c>
      <c r="G2" s="2" t="inlineStr"/>
    </row>
    <row r="3" ht="32" customHeight="1">
      <c r="A3" s="4" t="n">
        <v>2</v>
      </c>
      <c r="B3" s="4" t="n">
        <v>1</v>
      </c>
      <c r="C3" s="5" t="inlineStr">
        <is>
          <t>التقارير والنظام عمومًا</t>
        </is>
      </c>
      <c r="D3" s="4" t="inlineStr">
        <is>
          <t>—</t>
        </is>
      </c>
      <c r="E3" s="5" t="inlineStr">
        <is>
          <t>تقارير القسم محتاجة تظبيط ⟨تراكم⟩ الأعمال والميزانية، مع وجود مستويات لعرض التقرير ((Subtotal)).</t>
        </is>
      </c>
      <c r="F3" s="4" t="inlineStr">
        <is>
          <t>Subtotal</t>
        </is>
      </c>
      <c r="G3" s="4" t="inlineStr">
        <is>
          <t>نعم</t>
        </is>
      </c>
    </row>
    <row r="4" ht="20" customHeight="1">
      <c r="A4" s="2" t="n">
        <v>3</v>
      </c>
      <c r="B4" s="2" t="n">
        <v>1</v>
      </c>
      <c r="C4" s="3" t="inlineStr">
        <is>
          <t>التقارير والنظام عمومًا</t>
        </is>
      </c>
      <c r="D4" s="2" t="inlineStr">
        <is>
          <t>★</t>
        </is>
      </c>
      <c r="E4" s="3" t="inlineStr">
        <is>
          <t>إضافة أكثر من شركة (جولدن / الأرض القابضة).</t>
        </is>
      </c>
      <c r="F4" s="2" t="inlineStr"/>
      <c r="G4" s="2" t="inlineStr"/>
    </row>
    <row r="5" ht="32" customHeight="1">
      <c r="A5" s="4" t="n">
        <v>4</v>
      </c>
      <c r="B5" s="4" t="n">
        <v>1</v>
      </c>
      <c r="C5" s="5" t="inlineStr">
        <is>
          <t>التقارير والنظام عمومًا</t>
        </is>
      </c>
      <c r="D5" s="4" t="inlineStr">
        <is>
          <t>★</t>
        </is>
      </c>
      <c r="E5" s="5" t="inlineStr">
        <is>
          <t>DMS — ربط ⟨السيستم⟩ بالمستندات المرفقة، مع كل رقم دفعة يتم الوصول إليها بضغط رقم الدفعة.</t>
        </is>
      </c>
      <c r="F5" s="4" t="inlineStr">
        <is>
          <t>DMS</t>
        </is>
      </c>
      <c r="G5" s="4" t="inlineStr">
        <is>
          <t>نعم</t>
        </is>
      </c>
    </row>
    <row r="6" ht="20" customHeight="1">
      <c r="A6" s="4" t="n">
        <v>5</v>
      </c>
      <c r="B6" s="4" t="n">
        <v>1</v>
      </c>
      <c r="C6" s="5" t="inlineStr">
        <is>
          <t>التقارير والنظام عمومًا</t>
        </is>
      </c>
      <c r="D6" s="4" t="inlineStr">
        <is>
          <t>★</t>
        </is>
      </c>
      <c r="E6" s="5" t="inlineStr">
        <is>
          <t>PDC Management — ملاحظة هامشية: ⟨شاشة خاصة بالشيكات: استحقاق / الدفع / مرتجع⟩.</t>
        </is>
      </c>
      <c r="F6" s="4" t="inlineStr">
        <is>
          <t>PDC Management</t>
        </is>
      </c>
      <c r="G6" s="4" t="inlineStr">
        <is>
          <t>نعم</t>
        </is>
      </c>
    </row>
    <row r="7" ht="32" customHeight="1">
      <c r="A7" s="6" t="n">
        <v>6</v>
      </c>
      <c r="B7" s="6" t="n">
        <v>1</v>
      </c>
      <c r="C7" s="7" t="inlineStr">
        <is>
          <t>التقارير والنظام عمومًا</t>
        </is>
      </c>
      <c r="D7" s="6" t="inlineStr">
        <is>
          <t>—</t>
        </is>
      </c>
      <c r="E7" s="7" t="inlineStr">
        <is>
          <t>مشاكل التقارير: يضاف زر للطباعة يتم توجيه طباعة التقرير بدون الحاجة إلى التعديلات في الفورمات وحجم الصفحة، زي سند الصرف والقبض.</t>
        </is>
      </c>
      <c r="F7" s="6" t="inlineStr"/>
      <c r="G7" s="6" t="inlineStr"/>
    </row>
    <row r="8" ht="32" customHeight="1">
      <c r="A8" s="2" t="n">
        <v>7</v>
      </c>
      <c r="B8" s="2" t="n">
        <v>1</v>
      </c>
      <c r="C8" s="3" t="inlineStr">
        <is>
          <t>التقارير والنظام عمومًا</t>
        </is>
      </c>
      <c r="D8" s="2" t="inlineStr">
        <is>
          <t>—</t>
        </is>
      </c>
      <c r="E8" s="3" t="inlineStr">
        <is>
          <t>إضافة شاشة للتحويلات بين الحسابات البنكية والخزينة، مثلًا من CIB إلى ADIB، أو من الخزينة إلى CIB.</t>
        </is>
      </c>
      <c r="F8" s="2" t="inlineStr"/>
      <c r="G8" s="2" t="inlineStr"/>
    </row>
    <row r="9" ht="20" customHeight="1">
      <c r="A9" s="6" t="n">
        <v>8</v>
      </c>
      <c r="B9" s="6" t="n">
        <v>1</v>
      </c>
      <c r="C9" s="7" t="inlineStr">
        <is>
          <t>التقارير والنظام عمومًا</t>
        </is>
      </c>
      <c r="D9" s="6" t="inlineStr">
        <is>
          <t>—</t>
        </is>
      </c>
      <c r="E9" s="7" t="inlineStr">
        <is>
          <t>أنواع الدفعات محتاجة إعادة تعريف.</t>
        </is>
      </c>
      <c r="F9" s="6" t="inlineStr"/>
      <c r="G9" s="6" t="inlineStr"/>
    </row>
    <row r="10" ht="20" customHeight="1">
      <c r="A10" s="2" t="n">
        <v>9</v>
      </c>
      <c r="B10" s="2" t="n">
        <v>1</v>
      </c>
      <c r="C10" s="3" t="inlineStr">
        <is>
          <t>التقارير والنظام عمومًا</t>
        </is>
      </c>
      <c r="D10" s="2" t="inlineStr">
        <is>
          <t>—</t>
        </is>
      </c>
      <c r="E10" s="3" t="inlineStr">
        <is>
          <t>إظهار القيود اليومية مدين ودائن في شاشة الصرف والقبض قبل الإنشاء.</t>
        </is>
      </c>
      <c r="F10" s="2" t="inlineStr"/>
      <c r="G10" s="2" t="inlineStr"/>
    </row>
    <row r="11" ht="48" customHeight="1">
      <c r="A11" s="4" t="n">
        <v>10</v>
      </c>
      <c r="B11" s="4" t="n">
        <v>2</v>
      </c>
      <c r="C11" s="5" t="inlineStr">
        <is>
          <t>العرض والطباعة والأتمتة</t>
        </is>
      </c>
      <c r="D11" s="4" t="inlineStr">
        <is>
          <t>1</t>
        </is>
      </c>
      <c r="E11" s="5" t="inlineStr">
        <is>
          <t>إجمالًا طريقة العرض والطباعة محتاجة تحديث لتظهر بصورة احترافية، وكشوفات الحساب ⟨محتاجة⟩ وجميع الأشكال المصدرة محتاجة إعادة فورمات وترتيب الأعمدة لتظهر بشكل ⟨…⟩ كشف حساب البنك، ليتم طباعتها مباشرة دون إجراء تعديلات في كل مرة.</t>
        </is>
      </c>
      <c r="F11" s="4" t="inlineStr"/>
      <c r="G11" s="4" t="inlineStr">
        <is>
          <t>نعم</t>
        </is>
      </c>
    </row>
    <row r="12" ht="32" customHeight="1">
      <c r="A12" s="2" t="n">
        <v>11</v>
      </c>
      <c r="B12" s="2" t="n">
        <v>2</v>
      </c>
      <c r="C12" s="3" t="inlineStr">
        <is>
          <t>العرض والطباعة والأتمتة</t>
        </is>
      </c>
      <c r="D12" s="2" t="inlineStr">
        <is>
          <t>2</t>
        </is>
      </c>
      <c r="E12" s="3" t="inlineStr">
        <is>
          <t>أي معاملة يتم طباعة إيصال لها مباشرة من المعاملة دون الحاجة إلى تصدير إلى إكسل، زي سند الصرف.</t>
        </is>
      </c>
      <c r="F12" s="2" t="inlineStr"/>
      <c r="G12" s="2" t="inlineStr"/>
    </row>
    <row r="13" ht="48" customHeight="1">
      <c r="A13" s="6" t="n">
        <v>12</v>
      </c>
      <c r="B13" s="6" t="n">
        <v>2</v>
      </c>
      <c r="C13" s="7" t="inlineStr">
        <is>
          <t>العرض والطباعة والأتمتة</t>
        </is>
      </c>
      <c r="D13" s="6" t="inlineStr">
        <is>
          <t>3</t>
        </is>
      </c>
      <c r="E13" s="7" t="inlineStr">
        <is>
          <t>التقارير Automation — تحدث تلقائيًا بدون تدخل. على سبيل المثال تقرير يومي يتم تصديره بالمدفوعات والمقبوضات المستحقة خلال فترة زمنية (اليوم / أسبوع / شهر / ربع سنوي).</t>
        </is>
      </c>
      <c r="F13" s="6" t="inlineStr">
        <is>
          <t>Automation</t>
        </is>
      </c>
      <c r="G13" s="6" t="inlineStr"/>
    </row>
    <row r="14" ht="32" customHeight="1">
      <c r="A14" s="4" t="n">
        <v>13</v>
      </c>
      <c r="B14" s="4" t="n">
        <v>3</v>
      </c>
      <c r="C14" s="5" t="inlineStr">
        <is>
          <t>سندات الصرف والقبض</t>
        </is>
      </c>
      <c r="D14" s="4" t="inlineStr">
        <is>
          <t>ملاحظة</t>
        </is>
      </c>
      <c r="E14" s="5" t="inlineStr">
        <is>
          <t>ملاحظة في رأس الصفحة: ⟨إضافة خيار شيك مستبدل مع الاحتفاظ بالمعاملة — مع إضافة حالة مستبدل إلى مرسل أو غير مدفوع⟩.</t>
        </is>
      </c>
      <c r="F14" s="4" t="inlineStr"/>
      <c r="G14" s="4" t="inlineStr">
        <is>
          <t>نعم</t>
        </is>
      </c>
    </row>
    <row r="15" ht="20" customHeight="1">
      <c r="A15" s="6" t="n">
        <v>14</v>
      </c>
      <c r="B15" s="6" t="n">
        <v>3</v>
      </c>
      <c r="C15" s="7" t="inlineStr">
        <is>
          <t>سندات الصرف والقبض</t>
        </is>
      </c>
      <c r="D15" s="6" t="inlineStr">
        <is>
          <t>1</t>
        </is>
      </c>
      <c r="E15" s="7" t="inlineStr">
        <is>
          <t>عند تكرار الدفعات يكون الطرف ونوع الدفعة قابلة للتعديل.</t>
        </is>
      </c>
      <c r="F15" s="6" t="inlineStr"/>
      <c r="G15" s="6" t="inlineStr"/>
    </row>
    <row r="16" ht="32" customHeight="1">
      <c r="A16" s="2" t="n">
        <v>15</v>
      </c>
      <c r="B16" s="2" t="n">
        <v>3</v>
      </c>
      <c r="C16" s="3" t="inlineStr">
        <is>
          <t>سندات الصرف والقبض</t>
        </is>
      </c>
      <c r="D16" s="2" t="inlineStr">
        <is>
          <t>2</t>
        </is>
      </c>
      <c r="E16" s="3" t="inlineStr">
        <is>
          <t>عند إلغاء الدفعة يتم إضافة خيار إلغاء الدفعة إلى قائمة الإجراءات، مع الاحتفاظ بالدفعة الملغية على السيستم وتلوينها باللون الأحمر.</t>
        </is>
      </c>
      <c r="F16" s="2" t="inlineStr"/>
      <c r="G16" s="2" t="inlineStr"/>
    </row>
    <row r="17" ht="32" customHeight="1">
      <c r="A17" s="6" t="n">
        <v>16</v>
      </c>
      <c r="B17" s="6" t="n">
        <v>3</v>
      </c>
      <c r="C17" s="7" t="inlineStr">
        <is>
          <t>سندات الصرف والقبض</t>
        </is>
      </c>
      <c r="D17" s="6" t="inlineStr">
        <is>
          <t>3</t>
        </is>
      </c>
      <c r="E17" s="7" t="inlineStr">
        <is>
          <t>معالجة تطبيقات الدفع لتسمح بالدفع الجزئي، بحيث يظهر مبلغ المستحق للصرف والمبلغ المصروف فعليًا والمبلغ المتبقي.</t>
        </is>
      </c>
      <c r="F17" s="6" t="inlineStr"/>
      <c r="G17" s="6" t="inlineStr"/>
    </row>
    <row r="18" ht="20" customHeight="1">
      <c r="A18" s="2" t="n">
        <v>17</v>
      </c>
      <c r="B18" s="2" t="n">
        <v>3</v>
      </c>
      <c r="C18" s="3" t="inlineStr">
        <is>
          <t>سندات الصرف والقبض</t>
        </is>
      </c>
      <c r="D18" s="2" t="inlineStr">
        <is>
          <t>4</t>
        </is>
      </c>
      <c r="E18" s="3" t="inlineStr">
        <is>
          <t>عمل شاشات لتعديل أو حذف مركز التكلفة.</t>
        </is>
      </c>
      <c r="F18" s="2" t="inlineStr"/>
      <c r="G18" s="2" t="inlineStr"/>
    </row>
    <row r="19" ht="32" customHeight="1">
      <c r="A19" s="6" t="n">
        <v>18</v>
      </c>
      <c r="B19" s="6" t="n">
        <v>3</v>
      </c>
      <c r="C19" s="7" t="inlineStr">
        <is>
          <t>سندات الصرف والقبض</t>
        </is>
      </c>
      <c r="D19" s="6" t="inlineStr">
        <is>
          <t>5</t>
        </is>
      </c>
      <c r="E19" s="7" t="inlineStr">
        <is>
          <t>طريقة عرض الشاشات الرئيسية لكل سندات الصرف والقبض تحتاج إلى إعادة هيكلة لعرض جميع الأعمدة بدون التنقل يمينًا ويسارًا.</t>
        </is>
      </c>
      <c r="F19" s="6" t="inlineStr"/>
      <c r="G19" s="6" t="inlineStr"/>
    </row>
    <row r="20" ht="32" customHeight="1">
      <c r="A20" s="2" t="n">
        <v>19</v>
      </c>
      <c r="B20" s="2" t="n">
        <v>3</v>
      </c>
      <c r="C20" s="3" t="inlineStr">
        <is>
          <t>سندات الصرف والقبض</t>
        </is>
      </c>
      <c r="D20" s="2" t="inlineStr">
        <is>
          <t>6</t>
        </is>
      </c>
      <c r="E20" s="3" t="inlineStr">
        <is>
          <t>طباعة الإيصالات محتاجة تعديل لتتم الطباعة بطريقة احترافية، وشكل الإيصال يكون كما النموذج المرسل إليك.</t>
        </is>
      </c>
      <c r="F20" s="2" t="inlineStr"/>
      <c r="G20" s="2" t="inlineStr"/>
    </row>
    <row r="21" ht="48" customHeight="1">
      <c r="A21" s="6" t="n">
        <v>20</v>
      </c>
      <c r="B21" s="6" t="n">
        <v>3</v>
      </c>
      <c r="C21" s="7" t="inlineStr">
        <is>
          <t>سندات الصرف والقبض</t>
        </is>
      </c>
      <c r="D21" s="6" t="inlineStr">
        <is>
          <t>7-أ</t>
        </is>
      </c>
      <c r="E21" s="7" t="inlineStr">
        <is>
          <t>مطلوب تقارير يومية — الحركات اليومية للخزينة النقدية: رصيد أول اليوم + الحركات المدينة / الحركات الدائنة = رصيد آخر اليوم. ★ إضافة عمود تاريخ إنشاء المعاملة + تاريخ الموافقة على المعاملة.</t>
        </is>
      </c>
      <c r="F21" s="6" t="inlineStr"/>
      <c r="G21" s="6" t="inlineStr"/>
    </row>
    <row r="22" ht="32" customHeight="1">
      <c r="A22" s="2" t="n">
        <v>21</v>
      </c>
      <c r="B22" s="2" t="n">
        <v>3</v>
      </c>
      <c r="C22" s="3" t="inlineStr">
        <is>
          <t>سندات الصرف والقبض</t>
        </is>
      </c>
      <c r="D22" s="2" t="inlineStr">
        <is>
          <t>7-ب</t>
        </is>
      </c>
      <c r="E22" s="3" t="inlineStr">
        <is>
          <t>مطلوب تقارير يومية — الحركات اليومية الإجمالية لكل موظف (Daily Activity Report) من أول login، مع إظهار المعاملات التي تم الموافقة عليها.</t>
        </is>
      </c>
      <c r="F22" s="2" t="inlineStr">
        <is>
          <t>Daily Activity Report</t>
        </is>
      </c>
      <c r="G22" s="2" t="inlineStr"/>
    </row>
    <row r="23" ht="32" customHeight="1">
      <c r="A23" s="6" t="n">
        <v>22</v>
      </c>
      <c r="B23" s="6" t="n">
        <v>3</v>
      </c>
      <c r="C23" s="7" t="inlineStr">
        <is>
          <t>سندات الصرف والقبض</t>
        </is>
      </c>
      <c r="D23" s="6" t="inlineStr">
        <is>
          <t>8</t>
        </is>
      </c>
      <c r="E23" s="7" t="inlineStr">
        <is>
          <t>إضافة شاشة للمعاملات التي تحتاج إلى موافقة في شاشة الصرف وشاشة القبض (Approval Q).</t>
        </is>
      </c>
      <c r="F23" s="6" t="inlineStr">
        <is>
          <t>Approval Q</t>
        </is>
      </c>
      <c r="G23" s="6" t="inlineStr"/>
    </row>
    <row r="24" ht="32" customHeight="1">
      <c r="A24" s="2" t="n">
        <v>23</v>
      </c>
      <c r="B24" s="2" t="n">
        <v>3</v>
      </c>
      <c r="C24" s="3" t="inlineStr">
        <is>
          <t>سندات الصرف والقبض</t>
        </is>
      </c>
      <c r="D24" s="2" t="inlineStr">
        <is>
          <t>9</t>
        </is>
      </c>
      <c r="E24" s="3" t="inlineStr">
        <is>
          <t>الفلاتر في الشاشة الرئيسية تحتاج المراجعة لإضافة Date range وإمكانية استخدام أكثر من فلتر، مع تفعيل الترتيب زي حالة الاستحقاق.</t>
        </is>
      </c>
      <c r="F24" s="2" t="inlineStr">
        <is>
          <t>Date range</t>
        </is>
      </c>
      <c r="G24" s="2" t="inlineStr"/>
    </row>
    <row r="25" ht="20" customHeight="1">
      <c r="A25" s="6" t="n">
        <v>24</v>
      </c>
      <c r="B25" s="6" t="n">
        <v>4</v>
      </c>
      <c r="C25" s="7" t="inlineStr">
        <is>
          <t>القيود اليومية</t>
        </is>
      </c>
      <c r="D25" s="6" t="inlineStr">
        <is>
          <t>1</t>
        </is>
      </c>
      <c r="E25" s="7" t="inlineStr">
        <is>
          <t>تقرير يومي بكل القيود التي تم تحريرها من قبل الموظف.</t>
        </is>
      </c>
      <c r="F25" s="6" t="inlineStr"/>
      <c r="G25" s="6" t="inlineStr"/>
    </row>
    <row r="26" ht="20" customHeight="1">
      <c r="A26" s="2" t="n">
        <v>25</v>
      </c>
      <c r="B26" s="2" t="n">
        <v>4</v>
      </c>
      <c r="C26" s="3" t="inlineStr">
        <is>
          <t>القيود اليومية</t>
        </is>
      </c>
      <c r="D26" s="2" t="inlineStr">
        <is>
          <t>2</t>
        </is>
      </c>
      <c r="E26" s="3" t="inlineStr">
        <is>
          <t>الصلاحيات في القيود تكون زي سندات الصرف والقبض.</t>
        </is>
      </c>
      <c r="F26" s="2" t="inlineStr"/>
      <c r="G26" s="2" t="inlineStr"/>
    </row>
    <row r="27" ht="32" customHeight="1">
      <c r="A27" s="6" t="n">
        <v>26</v>
      </c>
      <c r="B27" s="6" t="n">
        <v>4</v>
      </c>
      <c r="C27" s="7" t="inlineStr">
        <is>
          <t>القيود اليومية</t>
        </is>
      </c>
      <c r="D27" s="6" t="inlineStr">
        <is>
          <t>3</t>
        </is>
      </c>
      <c r="E27" s="7" t="inlineStr">
        <is>
          <t>طريقة عرض الشاشة الرئيسية المفروض تبين رقم الدفعة / الفاتورة لأي قيد يتم إنشاؤه تلقائيًا.</t>
        </is>
      </c>
      <c r="F27" s="6" t="inlineStr"/>
      <c r="G27" s="6" t="inlineStr"/>
    </row>
    <row r="28" ht="20" customHeight="1">
      <c r="A28" s="2" t="n">
        <v>27</v>
      </c>
      <c r="B28" s="2" t="n">
        <v>4</v>
      </c>
      <c r="C28" s="3" t="inlineStr">
        <is>
          <t>الرواتب والسلف</t>
        </is>
      </c>
      <c r="D28" s="2" t="inlineStr">
        <is>
          <t>1</t>
        </is>
      </c>
      <c r="E28" s="3" t="inlineStr">
        <is>
          <t>إمكانية الترتيب والفلترة بالاسم أو القسم أو المبلغ، والبحث.</t>
        </is>
      </c>
      <c r="F28" s="2" t="inlineStr"/>
      <c r="G28" s="2" t="inlineStr"/>
    </row>
    <row r="29" ht="32" customHeight="1">
      <c r="A29" s="4" t="n">
        <v>28</v>
      </c>
      <c r="B29" s="4" t="n">
        <v>4</v>
      </c>
      <c r="C29" s="5" t="inlineStr">
        <is>
          <t>الرواتب والسلف</t>
        </is>
      </c>
      <c r="D29" s="4" t="inlineStr">
        <is>
          <t>2</t>
        </is>
      </c>
      <c r="E29" s="5" t="inlineStr">
        <is>
          <t>إمكانية تعديل الفاتورة لموظف (لحدث تغيير في ⟨البيانات⟩ والقيود) بدلًا من حذف كل الموظفين وتحريرها مرة أخرى.</t>
        </is>
      </c>
      <c r="F29" s="4" t="inlineStr"/>
      <c r="G29" s="4" t="inlineStr">
        <is>
          <t>نعم</t>
        </is>
      </c>
    </row>
    <row r="30" ht="20" customHeight="1">
      <c r="A30" s="4" t="n">
        <v>29</v>
      </c>
      <c r="B30" s="4" t="n">
        <v>4</v>
      </c>
      <c r="C30" s="5" t="inlineStr">
        <is>
          <t>الرواتب والسلف</t>
        </is>
      </c>
      <c r="D30" s="4" t="inlineStr">
        <is>
          <t>3</t>
        </is>
      </c>
      <c r="E30" s="5" t="inlineStr">
        <is>
          <t>إضافة الرصيد ⟨المتقدم⟩ مع الإجازات والرصيد المستحق.</t>
        </is>
      </c>
      <c r="F30" s="4" t="inlineStr"/>
      <c r="G30" s="4" t="inlineStr">
        <is>
          <t>نعم</t>
        </is>
      </c>
    </row>
    <row r="31" ht="20" customHeight="1">
      <c r="A31" s="6" t="n">
        <v>30</v>
      </c>
      <c r="B31" s="6" t="n">
        <v>4</v>
      </c>
      <c r="C31" s="7" t="inlineStr">
        <is>
          <t>الرواتب والسلف</t>
        </is>
      </c>
      <c r="D31" s="6" t="inlineStr">
        <is>
          <t>4</t>
        </is>
      </c>
      <c r="E31" s="7" t="inlineStr">
        <is>
          <t>إمكانية تعديل السلف — مبلغ الاستقطاع الشهري — بعد الاتفاق.</t>
        </is>
      </c>
      <c r="F31" s="6" t="inlineStr"/>
      <c r="G31" s="6" t="inlineStr"/>
    </row>
    <row r="32" ht="20" customHeight="1">
      <c r="A32" s="2" t="n">
        <v>31</v>
      </c>
      <c r="B32" s="2" t="n">
        <v>4</v>
      </c>
      <c r="C32" s="3" t="inlineStr">
        <is>
          <t>الرواتب والسلف</t>
        </is>
      </c>
      <c r="D32" s="2" t="inlineStr">
        <is>
          <t>4-1</t>
        </is>
      </c>
      <c r="E32" s="3" t="inlineStr">
        <is>
          <t>(بند فرعي تحت السلف) إمكانية وإضافة إعادة التعيين لتعديل أو زيادة بعد الاتفاق.</t>
        </is>
      </c>
      <c r="F32" s="2" t="inlineStr"/>
      <c r="G32" s="2" t="inlineStr"/>
    </row>
    <row r="33" ht="32" customHeight="1">
      <c r="A33" s="4" t="n">
        <v>32</v>
      </c>
      <c r="B33" s="4" t="n">
        <v>4</v>
      </c>
      <c r="C33" s="5" t="inlineStr">
        <is>
          <t>الرواتب والسلف</t>
        </is>
      </c>
      <c r="D33" s="4" t="inlineStr">
        <is>
          <t>4-2</t>
        </is>
      </c>
      <c r="E33" s="5" t="inlineStr">
        <is>
          <t>(بند فرعي تحت السلف) عند الضغط على المبلغ ⟨المستحق⟩ يعرض ويطبع الحركات ⟨المستخدمة⟩ — كشف حساب.</t>
        </is>
      </c>
      <c r="F33" s="4" t="inlineStr"/>
      <c r="G33" s="4" t="inlineStr">
        <is>
          <t>نعم</t>
        </is>
      </c>
    </row>
    <row r="34" ht="20" customHeight="1">
      <c r="A34" s="4" t="n">
        <v>33</v>
      </c>
      <c r="B34" s="4" t="n">
        <v>4</v>
      </c>
      <c r="C34" s="5" t="inlineStr">
        <is>
          <t>⟨السلف المقدمة⟩</t>
        </is>
      </c>
      <c r="D34" s="4" t="inlineStr">
        <is>
          <t>1</t>
        </is>
      </c>
      <c r="E34" s="5" t="inlineStr">
        <is>
          <t>إمكانية عرض أرقام السندات ⟨المقدرة⟩ ومبالغها في شاشة سندات الصرف.</t>
        </is>
      </c>
      <c r="F34" s="4" t="inlineStr"/>
      <c r="G34" s="4" t="inlineStr">
        <is>
          <t>نعم</t>
        </is>
      </c>
    </row>
    <row r="35" ht="20" customHeight="1">
      <c r="A35" s="4" t="n">
        <v>34</v>
      </c>
      <c r="B35" s="4" t="n">
        <v>4</v>
      </c>
      <c r="C35" s="5" t="inlineStr">
        <is>
          <t>⟨السلف المقدمة⟩</t>
        </is>
      </c>
      <c r="D35" s="4" t="inlineStr">
        <is>
          <t>2</t>
        </is>
      </c>
      <c r="E35" s="5" t="inlineStr">
        <is>
          <t>Approval Q للمعاملات المطلوب الموافقة عليها.</t>
        </is>
      </c>
      <c r="F35" s="4" t="inlineStr">
        <is>
          <t>Approval Q</t>
        </is>
      </c>
      <c r="G35" s="4" t="inlineStr">
        <is>
          <t>نعم</t>
        </is>
      </c>
    </row>
    <row r="36" ht="32" customHeight="1">
      <c r="A36" s="2" t="n">
        <v>35</v>
      </c>
      <c r="B36" s="2" t="n">
        <v>5</v>
      </c>
      <c r="C36" s="3" t="inlineStr">
        <is>
          <t>المبيعات</t>
        </is>
      </c>
      <c r="D36" s="2" t="inlineStr">
        <is>
          <t>1</t>
        </is>
      </c>
      <c r="E36" s="3" t="inlineStr">
        <is>
          <t>الدمج مع الواتس لإرسال رسائل مختلفة للعملاء بالأقساط المستحقة: تذكير بمواعيد الاستحقاق قبلها، ورسائل للأقساط المتأخرة أو ارتداد الشيكات.</t>
        </is>
      </c>
      <c r="F36" s="2" t="inlineStr">
        <is>
          <t>WhatsApp</t>
        </is>
      </c>
      <c r="G36" s="2" t="inlineStr"/>
    </row>
    <row r="37" ht="32" customHeight="1">
      <c r="A37" s="6" t="n">
        <v>36</v>
      </c>
      <c r="B37" s="6" t="n">
        <v>5</v>
      </c>
      <c r="C37" s="7" t="inlineStr">
        <is>
          <t>المبيعات</t>
        </is>
      </c>
      <c r="D37" s="6" t="inlineStr">
        <is>
          <t>2</t>
        </is>
      </c>
      <c r="E37" s="7" t="inlineStr">
        <is>
          <t>إمكانية تعديل بيانات في طلبات المبيعات دون حذف كل الدفعات السابقة، مثل تعديل التاريخ.</t>
        </is>
      </c>
      <c r="F37" s="6" t="inlineStr"/>
      <c r="G37" s="6" t="inlineStr"/>
    </row>
    <row r="38" ht="32" customHeight="1">
      <c r="A38" s="2" t="n">
        <v>37</v>
      </c>
      <c r="B38" s="2" t="n">
        <v>5</v>
      </c>
      <c r="C38" s="3" t="inlineStr">
        <is>
          <t>المبيعات</t>
        </is>
      </c>
      <c r="D38" s="2" t="inlineStr">
        <is>
          <t>3</t>
        </is>
      </c>
      <c r="E38" s="3" t="inlineStr">
        <is>
          <t>الاحتفاظ بطلب المبيعات وإمكانية تغيير العميل أو تعديل الدفعات في حالة بيع الوحدة، أو زيادة مبلغ البيع في حالة زيادة المساحة مثل الروف بعد الحصول على ترخيص.</t>
        </is>
      </c>
      <c r="F38" s="2" t="inlineStr"/>
      <c r="G38" s="2" t="inlineStr"/>
    </row>
    <row r="39" ht="32" customHeight="1">
      <c r="A39" s="6" t="n">
        <v>38</v>
      </c>
      <c r="B39" s="6" t="n">
        <v>5</v>
      </c>
      <c r="C39" s="7" t="inlineStr">
        <is>
          <t>المبيعات</t>
        </is>
      </c>
      <c r="D39" s="6" t="inlineStr">
        <is>
          <t>4</t>
        </is>
      </c>
      <c r="E39" s="7" t="inlineStr">
        <is>
          <t>إمكانية ومرونة تغيير الدفعات وإعادة هيكلتها، مع وجود إمكانية لدفعات مختلطة: شهرية + ربع سنوية + سنوية.</t>
        </is>
      </c>
      <c r="F39" s="6" t="inlineStr"/>
      <c r="G39" s="6" t="inlineStr"/>
    </row>
    <row r="40" ht="20" customHeight="1">
      <c r="A40" s="4" t="n">
        <v>39</v>
      </c>
      <c r="B40" s="4" t="n">
        <v>5</v>
      </c>
      <c r="C40" s="5" t="inlineStr">
        <is>
          <t>المبيعات</t>
        </is>
      </c>
      <c r="D40" s="4" t="inlineStr">
        <is>
          <t>5-أ</t>
        </is>
      </c>
      <c r="E40" s="5" t="inlineStr">
        <is>
          <t>⟨بند هامشي⟩ إضافة المصاريف / الضرائب المحملة على المشروع إلى تقرير المشروع.</t>
        </is>
      </c>
      <c r="F40" s="4" t="inlineStr"/>
      <c r="G40" s="4" t="inlineStr">
        <is>
          <t>نعم</t>
        </is>
      </c>
    </row>
    <row r="41" ht="48" customHeight="1">
      <c r="A41" s="6" t="n">
        <v>40</v>
      </c>
      <c r="B41" s="6" t="n">
        <v>5</v>
      </c>
      <c r="C41" s="7" t="inlineStr">
        <is>
          <t>المبيعات</t>
        </is>
      </c>
      <c r="D41" s="6" t="inlineStr">
        <is>
          <t>5</t>
        </is>
      </c>
      <c r="E41" s="7" t="inlineStr">
        <is>
          <t>مبلغ العمولة يتم محاسبته حسب الملف المرسل سابقًا، ويكون رقم الوحدة هو الأساس مع إمكانية صرف العمولات لطرف أو أكثر في كل مرة. وعند البحث برقم الوحدة يتم معرفة ما تم صرفه والمبلغ المستحق والمبلغ المتبقي للصرف وإجمالي العمولة.</t>
        </is>
      </c>
      <c r="F41" s="6" t="inlineStr"/>
      <c r="G41" s="6" t="inlineStr"/>
    </row>
    <row r="42" ht="32" customHeight="1">
      <c r="A42" s="4" t="n">
        <v>41</v>
      </c>
      <c r="B42" s="4" t="n">
        <v>5</v>
      </c>
      <c r="C42" s="5" t="inlineStr">
        <is>
          <t>المبيعات</t>
        </is>
      </c>
      <c r="D42" s="4" t="inlineStr">
        <is>
          <t>6</t>
        </is>
      </c>
      <c r="E42" s="5" t="inlineStr">
        <is>
          <t>تقرير شامل للمبيعات يشمل Sales R + إيرادات ⟨مستحقة⟩ ⟨…⟩ والمبلغ المطلوب توريده للضرائب، مع ربط بالفاتورة الإلكترونية.</t>
        </is>
      </c>
      <c r="F42" s="4" t="inlineStr">
        <is>
          <t>Sales R</t>
        </is>
      </c>
      <c r="G42" s="4" t="inlineStr">
        <is>
          <t>نعم</t>
        </is>
      </c>
    </row>
    <row r="43" ht="32" customHeight="1">
      <c r="A43" s="6" t="n">
        <v>42</v>
      </c>
      <c r="B43" s="6" t="n">
        <v>5</v>
      </c>
      <c r="C43" s="7" t="inlineStr">
        <is>
          <t>المبيعات</t>
        </is>
      </c>
      <c r="D43" s="6" t="inlineStr">
        <is>
          <t>7</t>
        </is>
      </c>
      <c r="E43" s="7" t="inlineStr">
        <is>
          <t>طريقة لتحويل الدفعات المستلمة قبل طلب المبيعات إلى جزء من الدفعة المقدمة بعد إنشاء طلب المبيعات.</t>
        </is>
      </c>
      <c r="F43" s="6" t="inlineStr"/>
      <c r="G43" s="6" t="inlineStr"/>
    </row>
    <row r="44" ht="32" customHeight="1">
      <c r="A44" s="2" t="n">
        <v>43</v>
      </c>
      <c r="B44" s="2" t="n">
        <v>6</v>
      </c>
      <c r="C44" s="3" t="inlineStr">
        <is>
          <t>المستخلصات</t>
        </is>
      </c>
      <c r="D44" s="2" t="inlineStr">
        <is>
          <t>1</t>
        </is>
      </c>
      <c r="E44" s="3" t="inlineStr">
        <is>
          <t>إضافة العقود مع كل مقاول أو مورد مع ربطها بالمشروع: قيمة التعاقد — المبالغ المدفوعة — المبالغ المتبقية.</t>
        </is>
      </c>
      <c r="F44" s="2" t="inlineStr"/>
      <c r="G44" s="2" t="inlineStr"/>
    </row>
    <row r="45" ht="20" customHeight="1">
      <c r="A45" s="6" t="n">
        <v>44</v>
      </c>
      <c r="B45" s="6" t="n">
        <v>6</v>
      </c>
      <c r="C45" s="7" t="inlineStr">
        <is>
          <t>المستخلصات</t>
        </is>
      </c>
      <c r="D45" s="6" t="inlineStr">
        <is>
          <t>2</t>
        </is>
      </c>
      <c r="E45" s="7" t="inlineStr">
        <is>
          <t>إضافة نسب الإنجاز التراكمية (انظر ورقة «مثال نسب الإنجاز»).</t>
        </is>
      </c>
      <c r="F45" s="6" t="inlineStr"/>
      <c r="G45" s="6" t="inlineStr"/>
    </row>
    <row r="46" ht="32" customHeight="1">
      <c r="A46" s="2" t="n">
        <v>45</v>
      </c>
      <c r="B46" s="2" t="n">
        <v>6</v>
      </c>
      <c r="C46" s="3" t="inlineStr">
        <is>
          <t>المستخلصات</t>
        </is>
      </c>
      <c r="D46" s="2" t="inlineStr">
        <is>
          <t>3</t>
        </is>
      </c>
      <c r="E46" s="3" t="inlineStr">
        <is>
          <t>ربط مستخلصات لكل مشروع (Bud vs. Actual) — يتم مطابقة جميع المصروفات بالمبلغ المستخدم.</t>
        </is>
      </c>
      <c r="F46" s="2" t="inlineStr">
        <is>
          <t>Bud vs. Actual</t>
        </is>
      </c>
      <c r="G46" s="2" t="inlineStr"/>
    </row>
    <row r="47" ht="20" customHeight="1">
      <c r="A47" s="6" t="n">
        <v>46</v>
      </c>
      <c r="B47" s="6" t="n">
        <v>6</v>
      </c>
      <c r="C47" s="7" t="inlineStr">
        <is>
          <t>المستخلصات</t>
        </is>
      </c>
      <c r="D47" s="6" t="inlineStr">
        <is>
          <t>4</t>
        </is>
      </c>
      <c r="E47" s="7" t="inlineStr">
        <is>
          <t>ربط مستخلصات لكل مقاول أو مورد بقيمة عقد المقاولة مع المشروع.</t>
        </is>
      </c>
      <c r="F47" s="6" t="inlineStr"/>
      <c r="G47" s="6" t="inlineStr"/>
    </row>
    <row r="48" ht="20" customHeight="1">
      <c r="A48" s="2" t="n">
        <v>47</v>
      </c>
      <c r="B48" s="2" t="n">
        <v>6</v>
      </c>
      <c r="C48" s="3" t="inlineStr">
        <is>
          <t>المستخلصات</t>
        </is>
      </c>
      <c r="D48" s="2" t="inlineStr">
        <is>
          <t>5</t>
        </is>
      </c>
      <c r="E48" s="3" t="inlineStr">
        <is>
          <t>توسيع حقل الوصف داخل البنود (w/ text) لعرض الوصف بالكامل.</t>
        </is>
      </c>
      <c r="F48" s="2" t="inlineStr">
        <is>
          <t>w/ text</t>
        </is>
      </c>
      <c r="G48" s="2" t="inlineStr"/>
    </row>
    <row r="49" ht="20" customHeight="1">
      <c r="A49" s="4" t="n">
        <v>48</v>
      </c>
      <c r="B49" s="4" t="n">
        <v>6</v>
      </c>
      <c r="C49" s="5" t="inlineStr">
        <is>
          <t>المستخلصات</t>
        </is>
      </c>
      <c r="D49" s="4" t="inlineStr">
        <is>
          <t>6</t>
        </is>
      </c>
      <c r="E49" s="5" t="inlineStr">
        <is>
          <t>عند تغيير وحدة القياس يتم ⟨تتبعها⟩ — ⟨مطلوب التتبع⟩.</t>
        </is>
      </c>
      <c r="F49" s="4" t="inlineStr"/>
      <c r="G49" s="4" t="inlineStr">
        <is>
          <t>نعم</t>
        </is>
      </c>
    </row>
  </sheetData>
  <autoFilter ref="A1:G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rightToLeft="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8" t="inlineStr">
        <is>
          <t>المثال المكتوب بخط اليد في الصفحة ٦ — بند ٢ (نسب الإنجاز التراكمية)</t>
        </is>
      </c>
    </row>
    <row r="3">
      <c r="A3" s="9" t="inlineStr">
        <is>
          <t>المبلغ التعاقدي</t>
        </is>
      </c>
      <c r="B3" s="9" t="inlineStr">
        <is>
          <t>المقاول</t>
        </is>
      </c>
      <c r="C3" s="9" t="inlineStr">
        <is>
          <t>نسبة الإنجاز الحالية</t>
        </is>
      </c>
      <c r="D3" s="9" t="inlineStr">
        <is>
          <t>المبلغ المستحق</t>
        </is>
      </c>
      <c r="E3" s="9" t="inlineStr">
        <is>
          <t>المدفوع</t>
        </is>
      </c>
      <c r="F3" s="9" t="inlineStr">
        <is>
          <t>المتبقي</t>
        </is>
      </c>
    </row>
    <row r="4">
      <c r="A4" s="10" t="n">
        <v>10000</v>
      </c>
      <c r="B4" s="11" t="inlineStr">
        <is>
          <t>×</t>
        </is>
      </c>
      <c r="C4" s="12" t="n">
        <v>0.2</v>
      </c>
      <c r="D4" s="13">
        <f>A4*C4</f>
        <v/>
      </c>
      <c r="E4" s="10" t="n">
        <v>2000</v>
      </c>
      <c r="F4" s="13">
        <f>A4-E4</f>
        <v/>
      </c>
    </row>
    <row r="5">
      <c r="A5" s="10" t="n">
        <v>10000</v>
      </c>
      <c r="B5" s="11" t="inlineStr">
        <is>
          <t>×</t>
        </is>
      </c>
      <c r="C5" s="12" t="n">
        <v>0.3</v>
      </c>
      <c r="D5" s="13">
        <f>A5*C5</f>
        <v/>
      </c>
      <c r="E5" s="10" t="n"/>
      <c r="F5" s="13" t="n"/>
    </row>
    <row r="7">
      <c r="A7" s="14" t="inlineStr">
        <is>
          <t>كما كتبها العميل تحت الجدول:</t>
        </is>
      </c>
    </row>
    <row r="8">
      <c r="A8" s="15" t="inlineStr">
        <is>
          <t>نسبة الإنجاز ← الحالية / السابقة / إجمالي نسبة الإنجاز (٪١٠ / ٪٢٠ / ٪٣٠)</t>
        </is>
      </c>
    </row>
    <row r="9">
      <c r="A9" s="15" t="inlineStr">
        <is>
          <t>المبالغ ← الحالية / المدفوع سابقًا / المتبقي</t>
        </is>
      </c>
    </row>
    <row r="11">
      <c r="A11" s="16" t="inlineStr">
        <is>
          <t>الأرقام بالأزرق منقولة من خط اليد؛ المستحق والمتبقي معادلات (المبلغ × النسبة، المبلغ − المدفوع). الصف الثاني لم يُستكمل في الأصل.</t>
        </is>
      </c>
    </row>
  </sheetData>
  <mergeCells count="4">
    <mergeCell ref="A8:F8"/>
    <mergeCell ref="A11:F11"/>
    <mergeCell ref="A1:F1"/>
    <mergeCell ref="A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rightToLeft="1" workbookViewId="0">
      <selection activeCell="A1" sqref="A1"/>
    </sheetView>
  </sheetViews>
  <sheetFormatPr baseColWidth="8" defaultRowHeight="15"/>
  <cols>
    <col width="30" customWidth="1" min="1" max="1"/>
    <col width="14" customWidth="1" min="2" max="2"/>
    <col width="24" customWidth="1" min="3" max="3"/>
  </cols>
  <sheetData>
    <row r="1">
      <c r="A1" s="8" t="inlineStr">
        <is>
          <t>عدد البنود حسب القسم</t>
        </is>
      </c>
    </row>
    <row r="2"/>
    <row r="3">
      <c r="A3" s="17" t="inlineStr">
        <is>
          <t>القسم</t>
        </is>
      </c>
      <c r="B3" s="17" t="inlineStr">
        <is>
          <t>عدد البنود</t>
        </is>
      </c>
      <c r="C3" s="17" t="inlineStr">
        <is>
          <t>منها قراءات غير مؤكدة</t>
        </is>
      </c>
    </row>
    <row r="4">
      <c r="A4" s="18" t="inlineStr">
        <is>
          <t>التقارير والنظام عمومًا</t>
        </is>
      </c>
      <c r="B4" s="19">
        <f>COUNTIF('البنود'!$C$2:$C$49,A4)</f>
        <v/>
      </c>
      <c r="C4" s="19">
        <f>COUNTIFS('البنود'!$C$2:$C$49,A4,'البنود'!$G$2:$G$49,"نعم")</f>
        <v/>
      </c>
    </row>
    <row r="5">
      <c r="A5" s="18" t="inlineStr">
        <is>
          <t>العرض والطباعة والأتمتة</t>
        </is>
      </c>
      <c r="B5" s="19">
        <f>COUNTIF('البنود'!$C$2:$C$49,A5)</f>
        <v/>
      </c>
      <c r="C5" s="19">
        <f>COUNTIFS('البنود'!$C$2:$C$49,A5,'البنود'!$G$2:$G$49,"نعم")</f>
        <v/>
      </c>
    </row>
    <row r="6">
      <c r="A6" s="18" t="inlineStr">
        <is>
          <t>سندات الصرف والقبض</t>
        </is>
      </c>
      <c r="B6" s="19">
        <f>COUNTIF('البنود'!$C$2:$C$49,A6)</f>
        <v/>
      </c>
      <c r="C6" s="19">
        <f>COUNTIFS('البنود'!$C$2:$C$49,A6,'البنود'!$G$2:$G$49,"نعم")</f>
        <v/>
      </c>
    </row>
    <row r="7">
      <c r="A7" s="18" t="inlineStr">
        <is>
          <t>القيود اليومية</t>
        </is>
      </c>
      <c r="B7" s="19">
        <f>COUNTIF('البنود'!$C$2:$C$49,A7)</f>
        <v/>
      </c>
      <c r="C7" s="19">
        <f>COUNTIFS('البنود'!$C$2:$C$49,A7,'البنود'!$G$2:$G$49,"نعم")</f>
        <v/>
      </c>
    </row>
    <row r="8">
      <c r="A8" s="18" t="inlineStr">
        <is>
          <t>الرواتب والسلف</t>
        </is>
      </c>
      <c r="B8" s="19">
        <f>COUNTIF('البنود'!$C$2:$C$49,A8)</f>
        <v/>
      </c>
      <c r="C8" s="19">
        <f>COUNTIFS('البنود'!$C$2:$C$49,A8,'البنود'!$G$2:$G$49,"نعم")</f>
        <v/>
      </c>
    </row>
    <row r="9">
      <c r="A9" s="18" t="inlineStr">
        <is>
          <t>⟨السلف المقدمة⟩</t>
        </is>
      </c>
      <c r="B9" s="19">
        <f>COUNTIF('البنود'!$C$2:$C$49,A9)</f>
        <v/>
      </c>
      <c r="C9" s="19">
        <f>COUNTIFS('البنود'!$C$2:$C$49,A9,'البنود'!$G$2:$G$49,"نعم")</f>
        <v/>
      </c>
    </row>
    <row r="10">
      <c r="A10" s="18" t="inlineStr">
        <is>
          <t>المبيعات</t>
        </is>
      </c>
      <c r="B10" s="19">
        <f>COUNTIF('البنود'!$C$2:$C$49,A10)</f>
        <v/>
      </c>
      <c r="C10" s="19">
        <f>COUNTIFS('البنود'!$C$2:$C$49,A10,'البنود'!$G$2:$G$49,"نعم")</f>
        <v/>
      </c>
    </row>
    <row r="11">
      <c r="A11" s="18" t="inlineStr">
        <is>
          <t>المستخلصات</t>
        </is>
      </c>
      <c r="B11" s="19">
        <f>COUNTIF('البنود'!$C$2:$C$49,A11)</f>
        <v/>
      </c>
      <c r="C11" s="19">
        <f>COUNTIFS('البنود'!$C$2:$C$49,A11,'البنود'!$G$2:$G$49,"نعم")</f>
        <v/>
      </c>
    </row>
    <row r="12">
      <c r="A12" s="20" t="inlineStr">
        <is>
          <t>الإجمالي</t>
        </is>
      </c>
      <c r="B12" s="21">
        <f>SUM(B4:B11)</f>
        <v/>
      </c>
      <c r="C12" s="21">
        <f>SUM(C4:C11)</f>
        <v/>
      </c>
    </row>
    <row r="13"/>
    <row r="14">
      <c r="A14" s="16" t="inlineStr">
        <is>
          <t>المصدر: 2nd phase ERP SYS updated.pdf (٦ صفحات بخط اليد، ٢٩ يوليو ٢٠٢٦) — منقول عبر 2nd-phase-ERP-SYS-transcription.md. القراءات غير المؤكدة مظللة بالأصفر في ورقة «البنود».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2026-09-19T08:16:14Z</dcterms:created>
  <dcterms:modified xsi:type="dcterms:W3CDTF">2026-09-19T08:16:30Z</dcterms:modified>
</cp:coreProperties>
</file>