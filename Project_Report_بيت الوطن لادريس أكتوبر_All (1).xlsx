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صاريف" state="visible" r:id="rId4"/>
    <sheet sheetId="2" name="المصاريف التشغيلية" state="visible" r:id="rId5"/>
    <sheet sheetId="3" name="الإيرادات" state="visible" r:id="rId6"/>
  </sheets>
  <calcPr calcId="171027"/>
</workbook>
</file>

<file path=xl/sharedStrings.xml><?xml version="1.0" encoding="utf-8"?>
<sst xmlns="http://schemas.openxmlformats.org/spreadsheetml/2006/main" count="2553" uniqueCount="757">
  <si>
    <t>‫بيت الوطن لادريس أكتوبر - الثروة الخضراء - المصاريف (All_Data)</t>
  </si>
  <si>
    <t>‫رقم الشهادة</t>
  </si>
  <si>
    <t>‫رقم الدفعة</t>
  </si>
  <si>
    <t>‫اسم الطرف</t>
  </si>
  <si>
    <t>‫المنتج/الخدمة</t>
  </si>
  <si>
    <t>‫التاريخ</t>
  </si>
  <si>
    <t>‫النوع</t>
  </si>
  <si>
    <t>‫الوصف</t>
  </si>
  <si>
    <t>‫وصف البند</t>
  </si>
  <si>
    <t>‫الكمية</t>
  </si>
  <si>
    <t>‫السعر</t>
  </si>
  <si>
    <t>‫الإجمالي</t>
  </si>
  <si>
    <t>‫الخصم</t>
  </si>
  <si>
    <t>‫الاستقطاعات</t>
  </si>
  <si>
    <t>‫التأمين</t>
  </si>
  <si>
    <t>‫صافي المعتمد</t>
  </si>
  <si>
    <t>181-0001</t>
  </si>
  <si>
    <t>10602</t>
  </si>
  <si>
    <t>جمعة البنا</t>
  </si>
  <si>
    <t>اعمال المباني</t>
  </si>
  <si>
    <t>01/01/2026</t>
  </si>
  <si>
    <t>مقاولات مصنعيات</t>
  </si>
  <si>
    <t>مستخلص اعمال مبانى (المصعد)_</t>
  </si>
  <si>
    <t>باليوميه مباني طوب احمر لزوم مصعد عماره B166</t>
  </si>
  <si>
    <t/>
  </si>
  <si>
    <t>10078</t>
  </si>
  <si>
    <t>خدمة موقع المشروع</t>
  </si>
  <si>
    <t>13/01/2026</t>
  </si>
  <si>
    <t>مستخلص دفعات متعددة / مصاريف مباشرة</t>
  </si>
  <si>
    <t>رواتب اسبوعية - عمالة متنوع</t>
  </si>
  <si>
    <t>عبد الرحمن 3*350 +احمد 3*350</t>
  </si>
  <si>
    <t>10124</t>
  </si>
  <si>
    <t>15/01/2026</t>
  </si>
  <si>
    <t>رواتب اسبوعية - عمالة متنوع 1حمد 6*370</t>
  </si>
  <si>
    <t>107-0001</t>
  </si>
  <si>
    <t>11299</t>
  </si>
  <si>
    <t>شدوان</t>
  </si>
  <si>
    <t>طوب مصمت آلى</t>
  </si>
  <si>
    <t>12/02/2026</t>
  </si>
  <si>
    <t>توريد مواد</t>
  </si>
  <si>
    <t>مستخلص توريدات          (      طوب       )		رقم 003</t>
  </si>
  <si>
    <t>بالالف طوب الي</t>
  </si>
  <si>
    <t>طوب احمر ٢٤×١٢×١٢</t>
  </si>
  <si>
    <t>طوب احمر دبل</t>
  </si>
  <si>
    <t>اسمنت</t>
  </si>
  <si>
    <t>اسمن على دفعتين للمحاره 10+15</t>
  </si>
  <si>
    <t>181-0002</t>
  </si>
  <si>
    <t>11301</t>
  </si>
  <si>
    <t>اعمال المصعد</t>
  </si>
  <si>
    <t>مستخلص اعمال مباني  (    المصعد     )		رقم 002</t>
  </si>
  <si>
    <t>باليوميه مباني طوب احمر لزوم مصعد عمارة B168</t>
  </si>
  <si>
    <t>باليوميه مباني طوب احمر لزوم مصعد B169</t>
  </si>
  <si>
    <t>84-0002</t>
  </si>
  <si>
    <t>11303</t>
  </si>
  <si>
    <t>سعيد شعبان</t>
  </si>
  <si>
    <t>محارة خارجية</t>
  </si>
  <si>
    <t>مستخلص اعمال المحاره (واجهات+ مناور + سلالم)		رقم 001</t>
  </si>
  <si>
    <t xml:space="preserve">بالمتر المربع  محارة  خارجيه بسماكة البؤج لزوم الواجهه الخلفيه  عماره 3
الكمية 535.7 الفئة 70 الاجمالى 37499 نسبة الانجاز 27% المستحق 10000</t>
  </si>
  <si>
    <t>84-0003</t>
  </si>
  <si>
    <t>11309</t>
  </si>
  <si>
    <t>مستخلص اعمال المحاره (واجهات+ مناور + سلالم)		رقم 002</t>
  </si>
  <si>
    <t xml:space="preserve">م	البيــــــــــــــــــــان	الوحدة	الوحدة	الكميه	الفئه	الاجمالي	نسبة الانجاز	المستحق	المدفوع	الباقي
	بالمتر المربع  محارة  خارجيه بسماكة البؤج لزوم الواجهه الخلفيه  عماره 2		م2	38.75	70	2,713	75%	 2,034 	0	 2,034 
5	بالمتر المربع  محارة  خارجيه بسماكة البؤج لزوم الواجهه الخلفيه  عماره 3		م2	565.00	70	39,550	75%	 29,663 	10,000	 19,663 
	بالمتر المربع  محارة  خارجيه بسماكة البؤج لزوم الواجهه الخلفيه  عماره 4		م2	100.00	70	7,000	75%	 5,250 	0	 5,250 
الإجمالــــــــــــــــــــــــــــــــــى						49,263		 36,947 	10,000	 26,947</t>
  </si>
  <si>
    <t>181-0003</t>
  </si>
  <si>
    <t>11319</t>
  </si>
  <si>
    <t>مستخلص اعمال مباني  (    المصعد     )		رقم 003</t>
  </si>
  <si>
    <t xml:space="preserve">البيــــــــــــــــــــان	الوحدة	الوحدة	الكميه	الفئه	الاجمالي	نسبة الانجاز	المستحق	المدفوع	الباقي
باليوميه مباني طوب احمر لزوم مصعد 		يوميه	4.00	1,200	4,800	100%	4800	0.00	 4,800</t>
  </si>
  <si>
    <t>10246</t>
  </si>
  <si>
    <t>5 ايام احمد * 370 = 1850 + 5 ايام عبده * 370 = 1850</t>
  </si>
  <si>
    <t>84-0004</t>
  </si>
  <si>
    <t>11445</t>
  </si>
  <si>
    <t>24/02/2026</t>
  </si>
  <si>
    <t>مستخلص اعمال المحاره (واجهات+ مناور + سلالم)		رقم 003</t>
  </si>
  <si>
    <t xml:space="preserve">م	البيــــــــــــــــــــان	الوحدة	الوحدة	الكميه	الفئه	الاجمالي	نسبة الانجاز	المستحق	المدفوع	الباقي
	بالمتر المربع  محارة  خارجيه بسماكة البؤج لزوم الواجهه الخلفيه  عماره 2		م2	38.75	70	2,713	80%	 2,170 	2,034	 136 
5	بالمتر المربع  محارة  خارجيه بسماكة البؤج لزوم الواجهه الخلفيه  عماره 3		م2	565.00	70	39,550	80%	 31,640.0 	29,663	 1,978 
	بالمتر المربع  محارة  خارجيه بسماكة البؤج لزوم الواجهه الخلفيه  عماره 4		م2	100.00	70	7,000	80%	 5,600 	5,250	 350 
الإجمالــــــــــــــــــــــــــــــــــى						49,263		 39,410 	36,947	 2,464</t>
  </si>
  <si>
    <t>84-0005</t>
  </si>
  <si>
    <t>11546</t>
  </si>
  <si>
    <t>05/03/2026</t>
  </si>
  <si>
    <t>مستخلص سعيد شعبان محارة بيت الوطن</t>
  </si>
  <si>
    <t>محاره خارجيه على الواجهات</t>
  </si>
  <si>
    <t>181-0004</t>
  </si>
  <si>
    <t>11557</t>
  </si>
  <si>
    <t>مستخلص مباني سور  بيت الوطن</t>
  </si>
  <si>
    <t>5 يوميه لاعمال مباني السور *1300</t>
  </si>
  <si>
    <t>107-0002</t>
  </si>
  <si>
    <t>11619</t>
  </si>
  <si>
    <t>09/03/2026</t>
  </si>
  <si>
    <t>فاتورة توريدات بقيمة 43350</t>
  </si>
  <si>
    <t>فاتورة توريدات بقيمة 34350</t>
  </si>
  <si>
    <t>84-0006</t>
  </si>
  <si>
    <t>11655</t>
  </si>
  <si>
    <t>مستخلص رقم 004</t>
  </si>
  <si>
    <t>11657</t>
  </si>
  <si>
    <t>181-0005</t>
  </si>
  <si>
    <t>11669</t>
  </si>
  <si>
    <t>12/03/2026</t>
  </si>
  <si>
    <t>مستخلص رقم 005</t>
  </si>
  <si>
    <t>84-0007</t>
  </si>
  <si>
    <t>11667</t>
  </si>
  <si>
    <t>أعمال البياض الخارجي</t>
  </si>
  <si>
    <t>مستخلص رقم 006</t>
  </si>
  <si>
    <t>11684</t>
  </si>
  <si>
    <t>احمد ماهر مختار</t>
  </si>
  <si>
    <t>اجور ورواتب مواقع</t>
  </si>
  <si>
    <t>عمالة يومية بيت الوطن لادريس ( احمد 7 * 370 + عبده 5 * 370 + محمد 2 * 400 )</t>
  </si>
  <si>
    <t>11685</t>
  </si>
  <si>
    <t>علي احمد مرسي عبد الباقي</t>
  </si>
  <si>
    <t>نقل ومواصلات ا علي مرسي 992 + طباعة وتصوير مستندات 145 + بدل مواصلات لمتابعة اراضي لادريس اكتوبر 184 + رسوم حكومية تامينات اجتماعية 805 + 1005 رسوم استخراج شهادة للسجل التجاري جولدن</t>
  </si>
  <si>
    <t>بدل نقل ومواصلات ا علي مرسي الذهاب الى جهاز اكتوبر لمتابعة اراضي بيت الوطن لادريس</t>
  </si>
  <si>
    <t>181-0006</t>
  </si>
  <si>
    <t>11724</t>
  </si>
  <si>
    <t>16/03/2026</t>
  </si>
  <si>
    <t>مستخلص مباني 3 يوميه لزوم مناور البدروم</t>
  </si>
  <si>
    <t>182-0011</t>
  </si>
  <si>
    <t>11716</t>
  </si>
  <si>
    <t>ماجد المتولى - مورد</t>
  </si>
  <si>
    <t>فاتورة توريدات</t>
  </si>
  <si>
    <t>فاتورة توريدات بضاعة كهربا رقم 1820مستخلص رقم 001</t>
  </si>
  <si>
    <t>59-0015</t>
  </si>
  <si>
    <t>11732</t>
  </si>
  <si>
    <t>ماجد المتولي</t>
  </si>
  <si>
    <t>اعمال الكهرباء</t>
  </si>
  <si>
    <t>اعمال مصناعيات كهرباء الكمبوند ككل</t>
  </si>
  <si>
    <t>بالمقطوعيه  تأسيس وتشطيب  صواعد وانارات للطرقه والمدخل  وتأسيس وتشطيب داتا الدش والكميرات والواجهه الخارجيه شامل السور وحمام السباحه واللاندسكيب  وادخال الوصلات الرئيسيه داخل الوحدات</t>
  </si>
  <si>
    <t>84-0008</t>
  </si>
  <si>
    <t>11720</t>
  </si>
  <si>
    <t>مستخلص اعمال محاره بيت الوطن لادريس رقم 007</t>
  </si>
  <si>
    <t>282-0003</t>
  </si>
  <si>
    <t>11722</t>
  </si>
  <si>
    <t>احمد خرسانة</t>
  </si>
  <si>
    <t>اعمال الخرسانة المسلحة</t>
  </si>
  <si>
    <t>مقاولة مصناعيات نجاره وحداده سور لادريس + 2 سلم خلفي</t>
  </si>
  <si>
    <t>59-0017</t>
  </si>
  <si>
    <t>11728</t>
  </si>
  <si>
    <t>282-0004</t>
  </si>
  <si>
    <t>13260</t>
  </si>
  <si>
    <t>31/03/2026</t>
  </si>
  <si>
    <t>مستخلص صبة الخرسانه</t>
  </si>
  <si>
    <t>صبة خرسانه مسلحه 30 عمود للسور + 2 سلم خلفي مصنتعيات فقط</t>
  </si>
  <si>
    <t>84-0009</t>
  </si>
  <si>
    <t>13452</t>
  </si>
  <si>
    <t>02/04/2026</t>
  </si>
  <si>
    <t>مستخلص اعمال محاره جانبيه عماره 4</t>
  </si>
  <si>
    <t>282-0005</t>
  </si>
  <si>
    <t>13461</t>
  </si>
  <si>
    <t>أعمال النجارة</t>
  </si>
  <si>
    <t>مستخلص من اعمال النجاره والحداده للسور والسلالم</t>
  </si>
  <si>
    <t>84-0010</t>
  </si>
  <si>
    <t>14178</t>
  </si>
  <si>
    <t>08/04/2026</t>
  </si>
  <si>
    <t>مستخلص اعمال بياض خارجي</t>
  </si>
  <si>
    <t>282-0006</t>
  </si>
  <si>
    <t>14176</t>
  </si>
  <si>
    <t>اعمال نجارة السور + السلم</t>
  </si>
  <si>
    <t>107-0003</t>
  </si>
  <si>
    <t>14170</t>
  </si>
  <si>
    <t>اسمنت اسود</t>
  </si>
  <si>
    <t>09/04/2026</t>
  </si>
  <si>
    <t>فاتورة توريدات اسمنت وطوب</t>
  </si>
  <si>
    <t>384-0001</t>
  </si>
  <si>
    <t>14187</t>
  </si>
  <si>
    <t>شركة الغول بيت الوطن</t>
  </si>
  <si>
    <t>سن ٠</t>
  </si>
  <si>
    <t>اعمال توريدات  مون + معدات</t>
  </si>
  <si>
    <t>اعمال توريدات  مون + معدات  لتسوية البدروم + صب الاعمدة والسلم</t>
  </si>
  <si>
    <t>14307</t>
  </si>
  <si>
    <t>محمد حمدي محمد عبد الواحد</t>
  </si>
  <si>
    <t>مصاريف متنوعة</t>
  </si>
  <si>
    <t>كشف علاج عبده عامل يومية بيت الوطن</t>
  </si>
  <si>
    <t>107-0004</t>
  </si>
  <si>
    <t>14709</t>
  </si>
  <si>
    <t>اسمنت ٤٢٫٥</t>
  </si>
  <si>
    <t>16/04/2026</t>
  </si>
  <si>
    <t>فاتورة توريدات اسمنت</t>
  </si>
  <si>
    <t>15109</t>
  </si>
  <si>
    <t>84-0011</t>
  </si>
  <si>
    <t>14705</t>
  </si>
  <si>
    <t>اعمال بياض خارجي  وداخلي لمباني لادريس</t>
  </si>
  <si>
    <t>14721</t>
  </si>
  <si>
    <t>15107</t>
  </si>
  <si>
    <t>84-0013</t>
  </si>
  <si>
    <t>15078</t>
  </si>
  <si>
    <t>22/04/2026</t>
  </si>
  <si>
    <t>اعمال محاره</t>
  </si>
  <si>
    <t>خلفي + مناور  + مصاعد + وحدات</t>
  </si>
  <si>
    <t>15126</t>
  </si>
  <si>
    <t>تصفيه عهده</t>
  </si>
  <si>
    <t>ادوات لاعمال المحاره بيت الوطن لادريس اكتوبر</t>
  </si>
  <si>
    <t>15127</t>
  </si>
  <si>
    <t>غفره بيت الوطن اكتوبر</t>
  </si>
  <si>
    <t>15129</t>
  </si>
  <si>
    <t>30/03/2026</t>
  </si>
  <si>
    <t>ادوات لاعمال المحارة مشروع بيت الوطن لادريس اكتوبر</t>
  </si>
  <si>
    <t>84-0014</t>
  </si>
  <si>
    <t>15221</t>
  </si>
  <si>
    <t>29/04/2026</t>
  </si>
  <si>
    <t>بياض لزوم الواجهه</t>
  </si>
  <si>
    <t>15360</t>
  </si>
  <si>
    <t>15252</t>
  </si>
  <si>
    <t>18/03/2026</t>
  </si>
  <si>
    <t>16/03/2026	مستخلص عماله متنوعه  18/03/2026	عدد وادوات لاعمال المحاره والتكسير بيت الوطن لادريس اكتوبر</t>
  </si>
  <si>
    <t>15254</t>
  </si>
  <si>
    <t>08/03/2026	عدد 5 متر سلك لتركيب العدادات مشروع بيت الوطن لادريس اكتوبر 09/03/2026	رسوم تركيب عدد 3 عداد كهرباء بيت الوطن لادريس اكتوبر 09/03/2026	اكراميه للعرب</t>
  </si>
  <si>
    <t>15255</t>
  </si>
  <si>
    <t>04/03/2026</t>
  </si>
  <si>
    <t>غفرة بيت الوطن لادريس اكتوبر</t>
  </si>
  <si>
    <t>15256</t>
  </si>
  <si>
    <t>26/02/2026</t>
  </si>
  <si>
    <t>اكراميه للغفر  بيت الوطن لادريس اكتوبر</t>
  </si>
  <si>
    <t>15257</t>
  </si>
  <si>
    <t>18/02/2026</t>
  </si>
  <si>
    <t>مستخلص عماله ( عدد5 يوميه بيت الوطن احمد )</t>
  </si>
  <si>
    <t>15259</t>
  </si>
  <si>
    <t>عدد وادوات لاعمال بيت الوطن لادريس +مياه وشاي وسكر م/بيشوي مشروع بيت الوطن</t>
  </si>
  <si>
    <t>59-0023</t>
  </si>
  <si>
    <t>15348</t>
  </si>
  <si>
    <t>03/05/2026</t>
  </si>
  <si>
    <t>تاسيس وتشطيب 4 عماير  خارجي+ صواعد</t>
  </si>
  <si>
    <t>182-0013</t>
  </si>
  <si>
    <t>15337</t>
  </si>
  <si>
    <t>سلك رباط لفة ٢٥ ك</t>
  </si>
  <si>
    <t>توريدات مستلزمات كهربائيه لزوم المشروع</t>
  </si>
  <si>
    <t>فاتوره رقم 1835   +   1840</t>
  </si>
  <si>
    <t>15373</t>
  </si>
  <si>
    <t>22/01/2026</t>
  </si>
  <si>
    <t>مستخلص عماله متنوعه بيت الوطن</t>
  </si>
  <si>
    <t>15385</t>
  </si>
  <si>
    <t>08/01/2026</t>
  </si>
  <si>
    <t>مستخلص عماله بيت الوطن اكتوبر  مستخلص عماله بيت الوطن اكتوبر  غفرة بيت الوطن اكتوبر</t>
  </si>
  <si>
    <t>15388</t>
  </si>
  <si>
    <t>مختار عادل مختار قطب</t>
  </si>
  <si>
    <t>04/01/2026</t>
  </si>
  <si>
    <t>04/01/2026	فك السقالة مشروع بيت الوطن</t>
  </si>
  <si>
    <t>15390</t>
  </si>
  <si>
    <t>يوميه عامل لتشوين الطوب عماره رقم 4 بيت الوطن اكتوبر</t>
  </si>
  <si>
    <t>84-0015</t>
  </si>
  <si>
    <t>15456</t>
  </si>
  <si>
    <t>06/05/2026</t>
  </si>
  <si>
    <t>اعمال محاره بيت الوطن</t>
  </si>
  <si>
    <t>15468</t>
  </si>
  <si>
    <t>15464</t>
  </si>
  <si>
    <t>02/02/2026</t>
  </si>
  <si>
    <t>4440 عمالة بيت الوطن اكتوبر + 28795 وليد البدري + 50 الف عهدة محمد مختار</t>
  </si>
  <si>
    <t>عمالة يومية احمد عدد 6 * 370 = 2220 جنيه - عمالة بيت الوطن أكتوبر عن الفترة 26/1 حتى 02/02/2026</t>
  </si>
  <si>
    <t>عمالة يومية عبده عدد 6 * 370 = 2220 جنيه - عمالة بيت الوطن أكتوبر عن الفترة 26/1 حتى 02/02/2026</t>
  </si>
  <si>
    <t>182-0018</t>
  </si>
  <si>
    <t>15476</t>
  </si>
  <si>
    <t>توريدات كهرباء (العماير) فاتورة 1002 لفة خركوم 23 مم</t>
  </si>
  <si>
    <t>توريدات كهرباء (العماير)</t>
  </si>
  <si>
    <t>15507</t>
  </si>
  <si>
    <t>30/04/2026</t>
  </si>
  <si>
    <t>ايجار هيلتي للتكسير في مشروع بيت الوطن لادريس اكتوبر</t>
  </si>
  <si>
    <t>07/05/2026</t>
  </si>
  <si>
    <t>مستخلص عماله متنوعه عدد 6 يوم *370ج مشروع لادريس اكتوبر</t>
  </si>
  <si>
    <t>84-0018</t>
  </si>
  <si>
    <t>15660</t>
  </si>
  <si>
    <t>13/05/2026</t>
  </si>
  <si>
    <t>اعمال محاره واجهات +مناور + سلالم</t>
  </si>
  <si>
    <t>15689</t>
  </si>
  <si>
    <t>14/05/2026</t>
  </si>
  <si>
    <t>تصفيه عهده مختار عادل</t>
  </si>
  <si>
    <t>84-0019</t>
  </si>
  <si>
    <t>15762</t>
  </si>
  <si>
    <t>21/05/2026</t>
  </si>
  <si>
    <t>محاره خارجيه</t>
  </si>
  <si>
    <t>107-0005</t>
  </si>
  <si>
    <t>15756</t>
  </si>
  <si>
    <t>طلب شراء: PO10913 - 25800 توريدات اسمنت 42.5 + 500 ج اكرامية و عيدية للعمال</t>
  </si>
  <si>
    <t>توريدات اسمنت 42.5</t>
  </si>
  <si>
    <t>81-0001</t>
  </si>
  <si>
    <t>15784</t>
  </si>
  <si>
    <t>شركة الغول</t>
  </si>
  <si>
    <t>نقل ومواصلات وناولون</t>
  </si>
  <si>
    <t>24/05/2026</t>
  </si>
  <si>
    <t>نقل مخلفات</t>
  </si>
  <si>
    <t>84-0021</t>
  </si>
  <si>
    <t>16354</t>
  </si>
  <si>
    <t>11/06/2026</t>
  </si>
  <si>
    <t>محاره داخليه وخارجيه</t>
  </si>
  <si>
    <t>384-0002</t>
  </si>
  <si>
    <t>16356</t>
  </si>
  <si>
    <t>رمل بالمتر</t>
  </si>
  <si>
    <t>طلب شراء: PO10937 - توريدات رمل</t>
  </si>
  <si>
    <t>توريدات رمل</t>
  </si>
  <si>
    <t>لودر وسط</t>
  </si>
  <si>
    <t>16292</t>
  </si>
  <si>
    <t>15/02/2026</t>
  </si>
  <si>
    <t>تسوية عهدة احمد ماهر عدد 14 عنصر مختلف حسب المرفق</t>
  </si>
  <si>
    <t>رفع قدرة عدادات الكهرباء بيت الوطن لادريس الي 3 فاز ا/وائل</t>
  </si>
  <si>
    <t>182-0021</t>
  </si>
  <si>
    <t>16450</t>
  </si>
  <si>
    <t>16/06/2026</t>
  </si>
  <si>
    <t>طلب شراء: PO10948 - توريدات لوحات (العماير) مستخلص 004</t>
  </si>
  <si>
    <t>توريدات لوحات (العماير) مستخلص 004</t>
  </si>
  <si>
    <t>553-0001</t>
  </si>
  <si>
    <t>16464</t>
  </si>
  <si>
    <t>الحاج فرج احمد عبد الوهاب</t>
  </si>
  <si>
    <t>اعمال الرخام</t>
  </si>
  <si>
    <t>مقاوله رخام 3 عماير</t>
  </si>
  <si>
    <t>16503</t>
  </si>
  <si>
    <t>رسوم بنكية / انستاباي</t>
  </si>
  <si>
    <t>رسوم تحويلات انستاباي للمشاريع المختلفة من عهدة احمد ماهر</t>
  </si>
  <si>
    <t>رسوم تحويلات انستاباي من عهدة احمد ماهر</t>
  </si>
  <si>
    <t>16518</t>
  </si>
  <si>
    <t>تصفيه عهده محمد مختار</t>
  </si>
  <si>
    <t>مستخلص عماله متنوعه بيت الوطن لادريس اكتوبر عدد 6 يوميه 400 ج احمد</t>
  </si>
  <si>
    <t>107-0006</t>
  </si>
  <si>
    <t>16577</t>
  </si>
  <si>
    <t>22/06/2026</t>
  </si>
  <si>
    <t>طلب شراء: PO10965 - توريدات اسمنت</t>
  </si>
  <si>
    <t>توريدات اسمنت</t>
  </si>
  <si>
    <t>الإجمالي الكلي</t>
  </si>
  <si>
    <t>‫مصاريف مباشرة أخرى (دفعات)</t>
  </si>
  <si>
    <t>‫من طرف</t>
  </si>
  <si>
    <t>‫إلى طرف</t>
  </si>
  <si>
    <t>‫الحالة</t>
  </si>
  <si>
    <t>‫المبلغ</t>
  </si>
  <si>
    <t>‫رقم المرجع</t>
  </si>
  <si>
    <t>‫طريقة الدفع</t>
  </si>
  <si>
    <t>‫الشيك</t>
  </si>
  <si>
    <t>‫تاريخ الشيك</t>
  </si>
  <si>
    <t>‫مركز التكلفة</t>
  </si>
  <si>
    <t>‫ملاحظات</t>
  </si>
  <si>
    <t>16338</t>
  </si>
  <si>
    <t>دفعة مقدمة للمورد او المقاول</t>
  </si>
  <si>
    <t>Golden Land</t>
  </si>
  <si>
    <t>الفا باور تريد للمصاعد الكهربائية</t>
  </si>
  <si>
    <t>مرسل</t>
  </si>
  <si>
    <t>10524</t>
  </si>
  <si>
    <t>شيك</t>
  </si>
  <si>
    <t>64201404012253</t>
  </si>
  <si>
    <t>مصاعد كهربائية</t>
  </si>
  <si>
    <t>شيك 64201404012253 لصالح محمد سيد رمضان عن دفعة مقدمة عن اعمال توريد وتركيب مصاعد في بيت الوطن اكتوبر بناية B166 لادريس اكتوبر متبقي 225 الف</t>
  </si>
  <si>
    <t>15795</t>
  </si>
  <si>
    <t>اجور عمالة</t>
  </si>
  <si>
    <t>10475</t>
  </si>
  <si>
    <t>نقد</t>
  </si>
  <si>
    <t>عماله متنوعه</t>
  </si>
  <si>
    <t>مستخلص عمالة متنوعه بيد مختار عادل بيت الوطن لادريس اكتوبر عدد 2 يوميه *400 ج</t>
  </si>
  <si>
    <t>15768</t>
  </si>
  <si>
    <t>10459</t>
  </si>
  <si>
    <t>مستخلص عمالة متنوعه بيد مختار عادل بيت الوطن لادريس اكتوبر عدد 6 يوميه *400 ج</t>
  </si>
  <si>
    <t>16528</t>
  </si>
  <si>
    <t>18/05/2026</t>
  </si>
  <si>
    <t>10586</t>
  </si>
  <si>
    <t>مستخلص عماله متنوعه بيت الوطن لادريس اكتوبر بيد مختار عادل (عدد 6 يوميه *400ج )</t>
  </si>
  <si>
    <t>15643</t>
  </si>
  <si>
    <t>10414</t>
  </si>
  <si>
    <t>15241</t>
  </si>
  <si>
    <t>10252</t>
  </si>
  <si>
    <t>دفع مستخلص</t>
  </si>
  <si>
    <t>مستخلص عماله متنوعه بيت الوطن لادريس اكتوبر بيد مختار عادل</t>
  </si>
  <si>
    <t>15079</t>
  </si>
  <si>
    <t>23/04/2026</t>
  </si>
  <si>
    <t>10200</t>
  </si>
  <si>
    <t>يوميات عماله بيت الوطن اكتوبر 2.50 * 370 لادريس اكتوبر بيد مختار عادل</t>
  </si>
  <si>
    <t>14725</t>
  </si>
  <si>
    <t>دفعة مقاول سداد مستخلص</t>
  </si>
  <si>
    <t>10143</t>
  </si>
  <si>
    <t>رواتب</t>
  </si>
  <si>
    <t>مستخلص عمالة متنوعة مشروع لادريس اكتوبر</t>
  </si>
  <si>
    <t>14121</t>
  </si>
  <si>
    <t>قسط مستحق</t>
  </si>
  <si>
    <t>استشاري لادريس سيج سمارت / احمد صبري</t>
  </si>
  <si>
    <t>10081</t>
  </si>
  <si>
    <t>حساب مالي</t>
  </si>
  <si>
    <t>اتعاب استشاري</t>
  </si>
  <si>
    <t>تحويل انستاباي م احمد صبري عبدالعزيز استشاري لادريس دفعة تحت الحساب من شهر 4/2025 ومتبقي 25 الف من شهر 4 بالاضافة ل شهرين 5 &amp; 6 كل شهر ب 45 الف اجمالي المتبقي 115 للف</t>
  </si>
  <si>
    <t>14185</t>
  </si>
  <si>
    <t>10088</t>
  </si>
  <si>
    <t>مستخلصين عماله متنوعه بيت الوطن اكتوبر بيد مختار عادل</t>
  </si>
  <si>
    <t>13530</t>
  </si>
  <si>
    <t>04/04/2026</t>
  </si>
  <si>
    <t>10035</t>
  </si>
  <si>
    <t>مستخلص عماله متنوعه بيت الوطن لادريس اكتوبر بيد احمد ماهر</t>
  </si>
  <si>
    <t>11558</t>
  </si>
  <si>
    <t>9871</t>
  </si>
  <si>
    <t>مستخلص عماله متنوعه بيت الوطن لادريس</t>
  </si>
  <si>
    <t>14062</t>
  </si>
  <si>
    <t>عمولة</t>
  </si>
  <si>
    <t>25/02/2026</t>
  </si>
  <si>
    <t>9809</t>
  </si>
  <si>
    <t>بتاريخ 26/2 مستخلص عماله متنوعه بيت الوطن لادريس اكتوبر</t>
  </si>
  <si>
    <t>14293</t>
  </si>
  <si>
    <t>04/02/2026</t>
  </si>
  <si>
    <t>9689</t>
  </si>
  <si>
    <t>مستخلص عمالة بيت الوطن</t>
  </si>
  <si>
    <t>14272</t>
  </si>
  <si>
    <t>9688</t>
  </si>
  <si>
    <t>غفرة</t>
  </si>
  <si>
    <t>غفرة عن شهر 1</t>
  </si>
  <si>
    <t>الإجمالي</t>
  </si>
  <si>
    <t>‫بيت الوطن لادريس أكتوبر - الثروة الخضراء - المصاريف التشغيلية (All_Data)</t>
  </si>
  <si>
    <t>15593</t>
  </si>
  <si>
    <t>محمد سيد شحاته</t>
  </si>
  <si>
    <t>11/05/2026</t>
  </si>
  <si>
    <t>1334</t>
  </si>
  <si>
    <t>عمولة بيع لادريس</t>
  </si>
  <si>
    <t>تحويل الي /محمد سيد شحاته عن عموله بيع وحده سكنيه مشروع لادريس B169401 سعر بيع 6,400,000 (256000 - 213500 شحاته + 42500 لادريس)</t>
  </si>
  <si>
    <t>16407</t>
  </si>
  <si>
    <t>احمد ناجي مبروك</t>
  </si>
  <si>
    <t>14/06/2026</t>
  </si>
  <si>
    <t>10539</t>
  </si>
  <si>
    <t>عمولات بيع موظفي جولدن لاند</t>
  </si>
  <si>
    <t>نقدا ليد احمد ناجي عن عمولة بيع 0.25% شقة B169-207 مشروع لادريس سعر البيع 5,979,670</t>
  </si>
  <si>
    <t>16408</t>
  </si>
  <si>
    <t>مارك سعيد تادرس</t>
  </si>
  <si>
    <t>نقدا ليد مارك سعيد تادرس عن عمولة بيع 0.50% شقة B169-207 مشروع لادريس اكتوبر</t>
  </si>
  <si>
    <t>16411</t>
  </si>
  <si>
    <t>محمد مدحت محمد  الغندور</t>
  </si>
  <si>
    <t>نقدا ليد محمد الغندور عن عمولة بيع 0.50% شقة B168-106 مشروع لادريس اكتوبر سعر البيع 5,240,000 جنيه</t>
  </si>
  <si>
    <t>16455</t>
  </si>
  <si>
    <t>محمد علي سمير</t>
  </si>
  <si>
    <t>10559</t>
  </si>
  <si>
    <t>552121568</t>
  </si>
  <si>
    <t>بشيك رقم 552121568 عموله بيع 0.5% وحده سكنيه مشروع لادريس اكتوبر وحده B169-207 /محمد علي سمير (شركة هاي ايمدج )</t>
  </si>
  <si>
    <t>‫بيت الوطن لادريس أكتوبر - الثروة الخضراء - الإيرادات (All_Data)</t>
  </si>
  <si>
    <t>‫السنة</t>
  </si>
  <si>
    <t>‫الربع</t>
  </si>
  <si>
    <t>‫المبنى</t>
  </si>
  <si>
    <t>‫الوحدة</t>
  </si>
  <si>
    <t>‫العميل</t>
  </si>
  <si>
    <t>‫الفئة</t>
  </si>
  <si>
    <t>‫المجدول</t>
  </si>
  <si>
    <t>‫المحصل</t>
  </si>
  <si>
    <t>‫المتبقي</t>
  </si>
  <si>
    <t>‫شريحة التأخير</t>
  </si>
  <si>
    <t>‫حالة الاستحقاق</t>
  </si>
  <si>
    <t>‫تاريخ الاستحقاق</t>
  </si>
  <si>
    <t>11255</t>
  </si>
  <si>
    <t>Q1</t>
  </si>
  <si>
    <t>B167</t>
  </si>
  <si>
    <t>B167-3</t>
  </si>
  <si>
    <t>دولت حسن عبدالخالق</t>
  </si>
  <si>
    <t>Installment</t>
  </si>
  <si>
    <t>Received</t>
  </si>
  <si>
    <t>تم التحصيل</t>
  </si>
  <si>
    <t>16/01/2026</t>
  </si>
  <si>
    <t>11256</t>
  </si>
  <si>
    <t>Q4</t>
  </si>
  <si>
    <t>Advance Payment</t>
  </si>
  <si>
    <t>31/12/2025</t>
  </si>
  <si>
    <t>11257</t>
  </si>
  <si>
    <t>Q2</t>
  </si>
  <si>
    <t>07/04/2026</t>
  </si>
  <si>
    <t>11258</t>
  </si>
  <si>
    <t>Q3</t>
  </si>
  <si>
    <t>Upcoming</t>
  </si>
  <si>
    <t>مستحق خلال الشهر</t>
  </si>
  <si>
    <t>16/07/2026</t>
  </si>
  <si>
    <t>11259</t>
  </si>
  <si>
    <t>مستحق لاحقاً  (الربع الرابع 2026)</t>
  </si>
  <si>
    <t>16/10/2026</t>
  </si>
  <si>
    <t>11260</t>
  </si>
  <si>
    <t>مستحق لاحقاً  (الربع الأول 2027)</t>
  </si>
  <si>
    <t>16/01/2027</t>
  </si>
  <si>
    <t>11261</t>
  </si>
  <si>
    <t>مستحق لاحقاً  (الربع الثاني 2027)</t>
  </si>
  <si>
    <t>16/04/2027</t>
  </si>
  <si>
    <t>11262</t>
  </si>
  <si>
    <t>Maintenance Deposit</t>
  </si>
  <si>
    <t>Late</t>
  </si>
  <si>
    <t>Late (31-90 Days)</t>
  </si>
  <si>
    <t>مستحق متأخرة جداً  (الربع الثاني 2026)</t>
  </si>
  <si>
    <t>11263</t>
  </si>
  <si>
    <t>B167-4</t>
  </si>
  <si>
    <t>هاني عبدالرحمن زكى</t>
  </si>
  <si>
    <t>04/06/2025</t>
  </si>
  <si>
    <t>11264</t>
  </si>
  <si>
    <t>07/10/2025</t>
  </si>
  <si>
    <t>11265</t>
  </si>
  <si>
    <t>11266</t>
  </si>
  <si>
    <t>04/06/2027</t>
  </si>
  <si>
    <t>11267</t>
  </si>
  <si>
    <t>B166</t>
  </si>
  <si>
    <t>B166-101</t>
  </si>
  <si>
    <t>تميم عبدالكريم</t>
  </si>
  <si>
    <t>25/01/2025</t>
  </si>
  <si>
    <t>11268</t>
  </si>
  <si>
    <t>25/04/2025</t>
  </si>
  <si>
    <t>11269</t>
  </si>
  <si>
    <t>25/07/2025</t>
  </si>
  <si>
    <t>11270</t>
  </si>
  <si>
    <t>25/10/2025</t>
  </si>
  <si>
    <t>11271</t>
  </si>
  <si>
    <t>25/01/2026</t>
  </si>
  <si>
    <t>11272</t>
  </si>
  <si>
    <t>23/10/2024</t>
  </si>
  <si>
    <t>11273</t>
  </si>
  <si>
    <t>25/04/2026</t>
  </si>
  <si>
    <t>11274</t>
  </si>
  <si>
    <t>25/07/2026</t>
  </si>
  <si>
    <t>11275</t>
  </si>
  <si>
    <t>25/10/2026</t>
  </si>
  <si>
    <t>11276</t>
  </si>
  <si>
    <t>25/01/2027</t>
  </si>
  <si>
    <t>11277</t>
  </si>
  <si>
    <t>25/04/2027</t>
  </si>
  <si>
    <t>11278</t>
  </si>
  <si>
    <t>مستحق لاحقاً  (الربع الثالث 2027)</t>
  </si>
  <si>
    <t>25/07/2027</t>
  </si>
  <si>
    <t>11279</t>
  </si>
  <si>
    <t>مستحق لاحقاً  (الربع الرابع 2027)</t>
  </si>
  <si>
    <t>25/10/2027</t>
  </si>
  <si>
    <t>11280</t>
  </si>
  <si>
    <t>05/01/2025</t>
  </si>
  <si>
    <t>11281</t>
  </si>
  <si>
    <t>B167-104</t>
  </si>
  <si>
    <t>حاتم صلاح الدين</t>
  </si>
  <si>
    <t>06/10/2024</t>
  </si>
  <si>
    <t>11282</t>
  </si>
  <si>
    <t>01/02/2025</t>
  </si>
  <si>
    <t>11283</t>
  </si>
  <si>
    <t>01/05/2025</t>
  </si>
  <si>
    <t>11284</t>
  </si>
  <si>
    <t>01/08/2025</t>
  </si>
  <si>
    <t>11285</t>
  </si>
  <si>
    <t>01/11/2025</t>
  </si>
  <si>
    <t>11286</t>
  </si>
  <si>
    <t>Late (Over 90 Days)</t>
  </si>
  <si>
    <t>مستحق متأخرة جداً  (الربع الأول 2026)</t>
  </si>
  <si>
    <t>01/02/2026</t>
  </si>
  <si>
    <t>11287</t>
  </si>
  <si>
    <t>01/05/2026</t>
  </si>
  <si>
    <t>11288</t>
  </si>
  <si>
    <t>مستحق خلال 3 أشهر  (الربع الثالث 2026)</t>
  </si>
  <si>
    <t>01/08/2026</t>
  </si>
  <si>
    <t>11289</t>
  </si>
  <si>
    <t>01/11/2026</t>
  </si>
  <si>
    <t>11290</t>
  </si>
  <si>
    <t>01/02/2027</t>
  </si>
  <si>
    <t>11291</t>
  </si>
  <si>
    <t>01/05/2027</t>
  </si>
  <si>
    <t>11292</t>
  </si>
  <si>
    <t>01/08/2027</t>
  </si>
  <si>
    <t>11293</t>
  </si>
  <si>
    <t>08/05/2025</t>
  </si>
  <si>
    <t>11324</t>
  </si>
  <si>
    <t>B166-201</t>
  </si>
  <si>
    <t>محمد محمود سليمان</t>
  </si>
  <si>
    <t>09/12/2025</t>
  </si>
  <si>
    <t>11325</t>
  </si>
  <si>
    <t>07/06/2026</t>
  </si>
  <si>
    <t>11326</t>
  </si>
  <si>
    <t>09/03/2025</t>
  </si>
  <si>
    <t>11327</t>
  </si>
  <si>
    <t>11333</t>
  </si>
  <si>
    <t>B166-202</t>
  </si>
  <si>
    <t>نيفن محمد طلعت / ولاء محمد عبد الوهاب</t>
  </si>
  <si>
    <t>24/04/2025</t>
  </si>
  <si>
    <t>11334</t>
  </si>
  <si>
    <t>11/08/2025</t>
  </si>
  <si>
    <t>11335</t>
  </si>
  <si>
    <t>30/10/2025</t>
  </si>
  <si>
    <t>11336</t>
  </si>
  <si>
    <t>25/06/2025</t>
  </si>
  <si>
    <t>11337</t>
  </si>
  <si>
    <t>B167-203</t>
  </si>
  <si>
    <t>حسين عبدالرحمن الاغبري</t>
  </si>
  <si>
    <t>04/02/2025</t>
  </si>
  <si>
    <t>11338</t>
  </si>
  <si>
    <t>11339</t>
  </si>
  <si>
    <t>B167-204</t>
  </si>
  <si>
    <t>سمر احمد حامد</t>
  </si>
  <si>
    <t>31/07/2025</t>
  </si>
  <si>
    <t>11340</t>
  </si>
  <si>
    <t>11341</t>
  </si>
  <si>
    <t>11342</t>
  </si>
  <si>
    <t>11343</t>
  </si>
  <si>
    <t>11344</t>
  </si>
  <si>
    <t>11345</t>
  </si>
  <si>
    <t>11346</t>
  </si>
  <si>
    <t>مستحق متأخرة جداً  (الربع الأول 2025)</t>
  </si>
  <si>
    <t>11348</t>
  </si>
  <si>
    <t>06/11/2025</t>
  </si>
  <si>
    <t>11361</t>
  </si>
  <si>
    <t>B168</t>
  </si>
  <si>
    <t>B168-206</t>
  </si>
  <si>
    <t>نادي محمد الصغير</t>
  </si>
  <si>
    <t>02/10/2025</t>
  </si>
  <si>
    <t>11362</t>
  </si>
  <si>
    <t>06/01/2026</t>
  </si>
  <si>
    <t>11363</t>
  </si>
  <si>
    <t>11364</t>
  </si>
  <si>
    <t>01/12/2026</t>
  </si>
  <si>
    <t>11365</t>
  </si>
  <si>
    <t>B166-301</t>
  </si>
  <si>
    <t>شريف محمد عبدالخالق</t>
  </si>
  <si>
    <t>21/04/2026</t>
  </si>
  <si>
    <t>11366</t>
  </si>
  <si>
    <t>11367</t>
  </si>
  <si>
    <t>09/02/2025</t>
  </si>
  <si>
    <t>11368</t>
  </si>
  <si>
    <t>B167-303</t>
  </si>
  <si>
    <t>هشام عاطف عبد النعيم</t>
  </si>
  <si>
    <t>10/12/2025</t>
  </si>
  <si>
    <t>11369</t>
  </si>
  <si>
    <t>11370</t>
  </si>
  <si>
    <t>B167-304</t>
  </si>
  <si>
    <t>جورج يوسف وديع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</si>
  <si>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</si>
  <si>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</si>
  <si>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</si>
  <si>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</si>
  <si>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</si>
  <si>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</si>
  <si>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</si>
  <si>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</si>
  <si>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</si>
  <si>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01/11/2027</t>
  </si>
  <si>
    <t>11380</t>
  </si>
  <si>
    <t>06/01/2025</t>
  </si>
  <si>
    <t>11381</t>
  </si>
  <si>
    <t>B168-305</t>
  </si>
  <si>
    <t>محمد محمد ابراهيم</t>
  </si>
  <si>
    <t>20/09/2025</t>
  </si>
  <si>
    <t>11382</t>
  </si>
  <si>
    <t>31/01/2026</t>
  </si>
  <si>
    <t>11383</t>
  </si>
  <si>
    <t>15/03/2026</t>
  </si>
  <si>
    <t>11384</t>
  </si>
  <si>
    <t>15/06/2026</t>
  </si>
  <si>
    <t>11385</t>
  </si>
  <si>
    <t>15/09/2026</t>
  </si>
  <si>
    <t>11386</t>
  </si>
  <si>
    <t>15/12/2026</t>
  </si>
  <si>
    <t>11387</t>
  </si>
  <si>
    <t>15/03/2027</t>
  </si>
  <si>
    <t>11388</t>
  </si>
  <si>
    <t>15/06/2027</t>
  </si>
  <si>
    <t>11389</t>
  </si>
  <si>
    <t>01/09/2027</t>
  </si>
  <si>
    <t>11393</t>
  </si>
  <si>
    <t>B166-402</t>
  </si>
  <si>
    <t>احمد ابراهيم الدسوقي</t>
  </si>
  <si>
    <t>01/01/2025</t>
  </si>
  <si>
    <t>11394</t>
  </si>
  <si>
    <t>20/01/2025</t>
  </si>
  <si>
    <t>11395</t>
  </si>
  <si>
    <t>13/01/2025</t>
  </si>
  <si>
    <t>11455</t>
  </si>
  <si>
    <t>11481</t>
  </si>
  <si>
    <t>15036</t>
  </si>
  <si>
    <t>15514</t>
  </si>
  <si>
    <t>B169</t>
  </si>
  <si>
    <t>B169-401</t>
  </si>
  <si>
    <t>محمد ياسر الكعكي</t>
  </si>
  <si>
    <t>10/05/2026</t>
  </si>
  <si>
    <t>15515</t>
  </si>
  <si>
    <t>15516</t>
  </si>
  <si>
    <t>15517</t>
  </si>
  <si>
    <t>15518</t>
  </si>
  <si>
    <t>15519</t>
  </si>
  <si>
    <t>15520</t>
  </si>
  <si>
    <t>15521</t>
  </si>
  <si>
    <t>مستحق لاحقاً  (الربع الأول 2028)</t>
  </si>
  <si>
    <t>01/02/2028</t>
  </si>
  <si>
    <t>15522</t>
  </si>
  <si>
    <t>مستحق لاحقاً  (الربع الثاني 2028)</t>
  </si>
  <si>
    <t>01/05/2028</t>
  </si>
  <si>
    <t>15523</t>
  </si>
  <si>
    <t>15960</t>
  </si>
  <si>
    <t>B169-207</t>
  </si>
  <si>
    <t>علي عبدالحكيم مهدي الشرقاوي</t>
  </si>
  <si>
    <t>15961</t>
  </si>
  <si>
    <t>مستحق هذا الأسبوع</t>
  </si>
  <si>
    <t>01/07/2026</t>
  </si>
  <si>
    <t>15962</t>
  </si>
  <si>
    <t>15963</t>
  </si>
  <si>
    <t>01/09/2026</t>
  </si>
  <si>
    <t>15964</t>
  </si>
  <si>
    <t>01/01/2027</t>
  </si>
  <si>
    <t>15965</t>
  </si>
  <si>
    <t>01/04/2027</t>
  </si>
  <si>
    <t>15966</t>
  </si>
  <si>
    <t>01/07/2027</t>
  </si>
  <si>
    <t>15967</t>
  </si>
  <si>
    <t>01/10/2027</t>
  </si>
  <si>
    <t>15968</t>
  </si>
  <si>
    <t>01/01/2028</t>
  </si>
  <si>
    <t>15969</t>
  </si>
  <si>
    <t>01/04/2028</t>
  </si>
  <si>
    <t>15970</t>
  </si>
  <si>
    <t>مستحق لاحقاً  (الربع الثالث 2028)</t>
  </si>
  <si>
    <t>01/07/2028</t>
  </si>
  <si>
    <t>15971</t>
  </si>
  <si>
    <t>24/05/2028</t>
  </si>
  <si>
    <t>15989</t>
  </si>
  <si>
    <t>25/05/2026</t>
  </si>
  <si>
    <t>15990</t>
  </si>
  <si>
    <t>15991</t>
  </si>
  <si>
    <t>15992</t>
  </si>
  <si>
    <t>15993</t>
  </si>
  <si>
    <t>16000</t>
  </si>
  <si>
    <t>B168-105</t>
  </si>
  <si>
    <t>عبدالرحمن علي  القاضي</t>
  </si>
  <si>
    <t>30/11/2025</t>
  </si>
  <si>
    <t>16001</t>
  </si>
  <si>
    <t>30/01/2026</t>
  </si>
  <si>
    <t>16002</t>
  </si>
  <si>
    <t>26/03/2026</t>
  </si>
  <si>
    <t>16003</t>
  </si>
  <si>
    <t>29/07/2026</t>
  </si>
  <si>
    <t>16004</t>
  </si>
  <si>
    <t>20/08/2027</t>
  </si>
  <si>
    <t>16005</t>
  </si>
  <si>
    <t>B168-205</t>
  </si>
  <si>
    <t>عائشة مبارك خميس علي</t>
  </si>
  <si>
    <t>16006</t>
  </si>
  <si>
    <t>29/11/2026</t>
  </si>
  <si>
    <t>16007</t>
  </si>
  <si>
    <t>01/06/2028</t>
  </si>
  <si>
    <t>16009</t>
  </si>
  <si>
    <t>B166-401</t>
  </si>
  <si>
    <t>16010</t>
  </si>
  <si>
    <t>25/03/2025</t>
  </si>
  <si>
    <t>16011</t>
  </si>
  <si>
    <t>16012</t>
  </si>
  <si>
    <t>16013</t>
  </si>
  <si>
    <t>16028</t>
  </si>
  <si>
    <t>B168-106</t>
  </si>
  <si>
    <t>ابراهيم بن محمد بن ابراهيم قبوري</t>
  </si>
  <si>
    <t>16029</t>
  </si>
  <si>
    <t>20/08/2026</t>
  </si>
  <si>
    <t>16030</t>
  </si>
  <si>
    <t>20/11/2026</t>
  </si>
  <si>
    <t>16031</t>
  </si>
  <si>
    <t>20/02/2027</t>
  </si>
  <si>
    <t>16032</t>
  </si>
  <si>
    <t>20/05/2027</t>
  </si>
  <si>
    <t>16033</t>
  </si>
  <si>
    <t>16034</t>
  </si>
  <si>
    <t>20/11/2027</t>
  </si>
  <si>
    <t>16035</t>
  </si>
  <si>
    <t>20/02/2028</t>
  </si>
  <si>
    <t>16036</t>
  </si>
  <si>
    <t>20/05/2028</t>
  </si>
  <si>
    <t>16037</t>
  </si>
  <si>
    <t>20/08/2028</t>
  </si>
  <si>
    <t>16038</t>
  </si>
  <si>
    <t>مستحق لاحقاً  (الربع الرابع 2028)</t>
  </si>
  <si>
    <t>20/11/2028</t>
  </si>
  <si>
    <t>16039</t>
  </si>
  <si>
    <t>21/05/2028</t>
  </si>
  <si>
    <t>16040</t>
  </si>
  <si>
    <t>16083</t>
  </si>
  <si>
    <t>16416</t>
  </si>
  <si>
    <t>6-B168</t>
  </si>
  <si>
    <t>عابدين عبداللاه اسماعيل</t>
  </si>
  <si>
    <t>21/06/2026</t>
  </si>
  <si>
    <t>16417</t>
  </si>
  <si>
    <t>09/06/2028</t>
  </si>
  <si>
    <t>16443</t>
  </si>
  <si>
    <t>B168-5</t>
  </si>
  <si>
    <t>16444</t>
  </si>
  <si>
    <t>16445</t>
  </si>
  <si>
    <t>15/07/2026</t>
  </si>
  <si>
    <t>16446</t>
  </si>
  <si>
    <t>16/06/2028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</si>
</sst>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  <name val="Amiri"/>
    </font>
    <font>
      <b/>
      <sz val="11"/>
      <name val="Amiri"/>
    </font>
    <font>
      <b/>
      <sz val="12"/>
      <name val="Amiri"/>
    </font>
    <font>
      <b/>
      <color rgb="FFFFFFFF"/>
      <sz val="14"/>
      <name val="Amiri"/>
    </font>
  </fonts>
  <fills count="15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DBEAFE"/>
      </patternFill>
    </fill>
    <fill>
      <patternFill patternType="solid">
        <fgColor rgb="FFF1F5F9"/>
      </patternFill>
    </fill>
    <fill>
      <patternFill patternType="solid">
        <fgColor rgb="FFBFDBFE"/>
      </patternFill>
    </fill>
    <fill>
      <patternFill patternType="solid">
        <fgColor rgb="FF10B981"/>
      </patternFill>
    </fill>
    <fill>
      <patternFill patternType="solid">
        <fgColor rgb="FFD1FAE5"/>
      </patternFill>
    </fill>
    <fill>
      <patternFill patternType="solid">
        <fgColor rgb="FFF0FDF4"/>
      </patternFill>
    </fill>
    <fill>
      <patternFill patternType="solid">
        <fgColor rgb="FFA7F3D0"/>
      </patternFill>
    </fill>
    <fill>
      <patternFill patternType="solid">
        <fgColor rgb="FF065F46"/>
      </patternFill>
    </fill>
    <fill>
      <patternFill patternType="solid">
        <fgColor rgb="FF6366F1"/>
      </patternFill>
    </fill>
    <fill>
      <patternFill patternType="solid">
        <fgColor rgb="FFE0E7FF"/>
      </patternFill>
    </fill>
    <fill>
      <patternFill patternType="solid">
        <fgColor rgb="FFF5F3FF"/>
      </patternFill>
    </fill>
    <fill>
      <patternFill patternType="solid">
        <fgColor rgb="FFC7D2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" fontId="0" fillId="0" borderId="0" xfId="0" applyNumberFormat="1" applyAlignment="1">
      <alignment horizontal="right"/>
    </xf>
    <xf numFmtId="0" fontId="0" fillId="4" borderId="0" xfId="0" applyFill="1"/>
    <xf numFmtId="4" fontId="0" fillId="4" borderId="0" xfId="0" applyNumberFormat="1" applyFill="1" applyAlignment="1">
      <alignment horizontal="right"/>
    </xf>
    <xf numFmtId="0" fontId="3" fillId="5" borderId="0" xfId="0" applyFont="1" applyFill="1"/>
    <xf numFmtId="4" fontId="3" fillId="5" borderId="0" xfId="0" applyNumberFormat="1" applyFont="1" applyFill="1" applyAlignment="1">
      <alignment horizontal="right"/>
    </xf>
    <xf numFmtId="0" fontId="4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0" fillId="0" borderId="0" xfId="0" applyAlignment="1">
      <alignment horizontal="right"/>
    </xf>
    <xf numFmtId="0" fontId="0" fillId="8" borderId="0" xfId="0" applyFill="1"/>
    <xf numFmtId="4" fontId="0" fillId="8" borderId="0" xfId="0" applyNumberFormat="1" applyFill="1" applyAlignment="1">
      <alignment horizontal="right"/>
    </xf>
    <xf numFmtId="0" fontId="0" fillId="8" borderId="0" xfId="0" applyFill="1" applyAlignment="1">
      <alignment horizontal="right"/>
    </xf>
    <xf numFmtId="0" fontId="3" fillId="9" borderId="0" xfId="0" applyFont="1" applyFill="1"/>
    <xf numFmtId="4" fontId="3" fillId="9" borderId="0" xfId="0" applyNumberFormat="1" applyFont="1" applyFill="1" applyAlignment="1">
      <alignment horizontal="right"/>
    </xf>
    <xf numFmtId="0" fontId="4" fillId="10" borderId="0" xfId="0" applyFont="1" applyFill="1"/>
    <xf numFmtId="0" fontId="4" fillId="10" borderId="0" xfId="0" applyFont="1" applyFill="1" applyAlignment="1">
      <alignment horizontal="center"/>
    </xf>
    <xf numFmtId="4" fontId="4" fillId="10" borderId="0" xfId="0" applyNumberFormat="1" applyFont="1" applyFill="1" applyAlignment="1">
      <alignment horizontal="right"/>
    </xf>
    <xf numFmtId="0" fontId="1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0" fillId="13" borderId="0" xfId="0" applyFill="1"/>
    <xf numFmtId="4" fontId="0" fillId="13" borderId="0" xfId="0" applyNumberFormat="1" applyFill="1" applyAlignment="1">
      <alignment horizontal="right"/>
    </xf>
    <xf numFmtId="0" fontId="3" fillId="14" borderId="0" xfId="0" applyFont="1" applyFill="1"/>
    <xf numFmtId="4" fontId="3" fillId="14" borderId="0" xfId="0" applyNumberFormat="1" applyFont="1" applyFill="1"/>
    <xf numFmtId="0" fontId="2" fillId="3" borderId="0" xfId="0" applyFont="1" applyFill="1"/>
    <xf numFmtId="4" fontId="3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33350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33350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33350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0"/>
  <sheetViews>
    <sheetView workbookViewId="0" rightToLeft="1"/>
  </sheetViews>
  <sheetFormatPr defaultRowHeight="15" outlineLevelRow="0" outlineLevelCol="0" x14ac:dyDescent="55"/>
  <cols>
    <col min="1" max="1" width="18" customWidth="1"/>
    <col min="2" max="2" width="16" customWidth="1"/>
    <col min="3" max="3" width="32" customWidth="1"/>
    <col min="4" max="4" width="28" customWidth="1"/>
    <col min="5" max="5" width="14" customWidth="1"/>
    <col min="6" max="6" width="25" customWidth="1"/>
    <col min="7" max="7" width="38" customWidth="1"/>
    <col min="8" max="8" width="45" customWidth="1"/>
    <col min="9" max="9" width="12" customWidth="1"/>
    <col min="10" max="10" width="16" customWidth="1"/>
    <col min="11" max="11" width="18" customWidth="1"/>
    <col min="12" max="14" width="16" customWidth="1"/>
    <col min="15" max="15" width="20" customWidth="1"/>
  </cols>
  <sheetData>
    <row r="1" ht="70" customHeight="1" x14ac:dyDescent="0.25"/>
    <row r="6" ht="45" customHeight="1" spans="1:15" x14ac:dyDescent="0.25">
      <c r="A6" s="1" t="s">
        <v>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s="2" customFormat="1" x14ac:dyDescent="0.25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  <c r="H7" s="2" t="s">
        <v>8</v>
      </c>
      <c r="I7" s="2" t="s">
        <v>9</v>
      </c>
      <c r="J7" s="2" t="s">
        <v>10</v>
      </c>
      <c r="K7" s="2" t="s">
        <v>11</v>
      </c>
      <c r="L7" s="2" t="s">
        <v>12</v>
      </c>
      <c r="M7" s="2" t="s">
        <v>13</v>
      </c>
      <c r="N7" s="2" t="s">
        <v>14</v>
      </c>
      <c r="O7" s="2" t="s">
        <v>15</v>
      </c>
    </row>
    <row r="8" spans="1:15" x14ac:dyDescent="0.25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s="3">
        <v>7</v>
      </c>
      <c r="J8" s="3">
        <v>1200</v>
      </c>
      <c r="K8" s="3">
        <v>8400</v>
      </c>
      <c r="L8" s="3">
        <v>0</v>
      </c>
      <c r="M8" s="3">
        <v>0</v>
      </c>
      <c r="N8" s="3">
        <v>0</v>
      </c>
      <c r="O8" s="3">
        <v>8400</v>
      </c>
    </row>
    <row r="9" spans="1:15" s="4" customFormat="1" x14ac:dyDescent="0.25">
      <c r="A9" s="4" t="s">
        <v>24</v>
      </c>
      <c r="B9" s="4" t="s">
        <v>25</v>
      </c>
      <c r="C9" s="4" t="s">
        <v>24</v>
      </c>
      <c r="D9" s="4" t="s">
        <v>26</v>
      </c>
      <c r="E9" s="4" t="s">
        <v>27</v>
      </c>
      <c r="F9" s="4" t="s">
        <v>28</v>
      </c>
      <c r="G9" s="4" t="s">
        <v>29</v>
      </c>
      <c r="H9" s="4" t="s">
        <v>30</v>
      </c>
      <c r="I9" s="5">
        <v>1</v>
      </c>
      <c r="J9" s="5">
        <v>0</v>
      </c>
      <c r="K9" s="5">
        <v>2100</v>
      </c>
      <c r="L9" s="5">
        <v>0</v>
      </c>
      <c r="M9" s="5">
        <v>0</v>
      </c>
      <c r="N9" s="5">
        <v>0</v>
      </c>
      <c r="O9" s="5">
        <v>2100</v>
      </c>
    </row>
    <row r="10" spans="1:15" x14ac:dyDescent="0.25">
      <c r="A10" t="s">
        <v>24</v>
      </c>
      <c r="B10" t="s">
        <v>31</v>
      </c>
      <c r="C10" t="s">
        <v>24</v>
      </c>
      <c r="D10" t="s">
        <v>26</v>
      </c>
      <c r="E10" t="s">
        <v>32</v>
      </c>
      <c r="F10" t="s">
        <v>28</v>
      </c>
      <c r="G10" t="s">
        <v>29</v>
      </c>
      <c r="H10" t="s">
        <v>33</v>
      </c>
      <c r="I10" s="3">
        <v>1</v>
      </c>
      <c r="J10" s="3">
        <v>0</v>
      </c>
      <c r="K10" s="3">
        <v>2220</v>
      </c>
      <c r="L10" s="3">
        <v>0</v>
      </c>
      <c r="M10" s="3">
        <v>0</v>
      </c>
      <c r="N10" s="3">
        <v>0</v>
      </c>
      <c r="O10" s="3">
        <v>2220</v>
      </c>
    </row>
    <row r="11" spans="1:15" s="4" customFormat="1" x14ac:dyDescent="0.25">
      <c r="A11" s="4" t="s">
        <v>34</v>
      </c>
      <c r="B11" s="4" t="s">
        <v>35</v>
      </c>
      <c r="C11" s="4" t="s">
        <v>36</v>
      </c>
      <c r="D11" s="4" t="s">
        <v>37</v>
      </c>
      <c r="E11" s="4" t="s">
        <v>38</v>
      </c>
      <c r="F11" s="4" t="s">
        <v>39</v>
      </c>
      <c r="G11" s="4" t="s">
        <v>40</v>
      </c>
      <c r="H11" s="4" t="s">
        <v>41</v>
      </c>
      <c r="I11" s="5">
        <v>3</v>
      </c>
      <c r="J11" s="5">
        <v>1650</v>
      </c>
      <c r="K11" s="5">
        <v>4950</v>
      </c>
      <c r="L11" s="5">
        <v>0</v>
      </c>
      <c r="M11" s="5">
        <v>0</v>
      </c>
      <c r="N11" s="5">
        <v>0</v>
      </c>
      <c r="O11" s="5">
        <v>4950</v>
      </c>
    </row>
    <row r="12" spans="1:15" x14ac:dyDescent="0.25">
      <c r="A12" t="s">
        <v>34</v>
      </c>
      <c r="B12" t="s">
        <v>35</v>
      </c>
      <c r="C12" t="s">
        <v>36</v>
      </c>
      <c r="D12" t="s">
        <v>42</v>
      </c>
      <c r="E12" t="s">
        <v>38</v>
      </c>
      <c r="F12" t="s">
        <v>39</v>
      </c>
      <c r="G12" t="s">
        <v>40</v>
      </c>
      <c r="H12" t="s">
        <v>43</v>
      </c>
      <c r="I12" s="3">
        <v>6</v>
      </c>
      <c r="J12" s="3">
        <v>4200</v>
      </c>
      <c r="K12" s="3">
        <v>25200</v>
      </c>
      <c r="L12" s="3">
        <v>0</v>
      </c>
      <c r="M12" s="3">
        <v>0</v>
      </c>
      <c r="N12" s="3">
        <v>0</v>
      </c>
      <c r="O12" s="3">
        <v>25200</v>
      </c>
    </row>
    <row r="13" spans="1:15" s="4" customFormat="1" x14ac:dyDescent="0.25">
      <c r="A13" s="4" t="s">
        <v>34</v>
      </c>
      <c r="B13" s="4" t="s">
        <v>35</v>
      </c>
      <c r="C13" s="4" t="s">
        <v>36</v>
      </c>
      <c r="D13" s="4" t="s">
        <v>44</v>
      </c>
      <c r="E13" s="4" t="s">
        <v>38</v>
      </c>
      <c r="F13" s="4" t="s">
        <v>39</v>
      </c>
      <c r="G13" s="4" t="s">
        <v>40</v>
      </c>
      <c r="H13" s="4" t="s">
        <v>45</v>
      </c>
      <c r="I13" s="5">
        <v>25</v>
      </c>
      <c r="J13" s="5">
        <v>4100</v>
      </c>
      <c r="K13" s="5">
        <v>102500</v>
      </c>
      <c r="L13" s="5">
        <v>0</v>
      </c>
      <c r="M13" s="5">
        <v>0</v>
      </c>
      <c r="N13" s="5">
        <v>0</v>
      </c>
      <c r="O13" s="5">
        <v>102500</v>
      </c>
    </row>
    <row r="14" spans="1:15" x14ac:dyDescent="0.25">
      <c r="A14" t="s">
        <v>46</v>
      </c>
      <c r="B14" t="s">
        <v>47</v>
      </c>
      <c r="C14" t="s">
        <v>18</v>
      </c>
      <c r="D14" t="s">
        <v>48</v>
      </c>
      <c r="E14" t="s">
        <v>38</v>
      </c>
      <c r="F14" t="s">
        <v>21</v>
      </c>
      <c r="G14" t="s">
        <v>49</v>
      </c>
      <c r="H14" t="s">
        <v>50</v>
      </c>
      <c r="I14" s="3">
        <v>5</v>
      </c>
      <c r="J14" s="3">
        <v>1200</v>
      </c>
      <c r="K14" s="3">
        <v>6000</v>
      </c>
      <c r="L14" s="3">
        <v>0</v>
      </c>
      <c r="M14" s="3">
        <v>0</v>
      </c>
      <c r="N14" s="3">
        <v>0</v>
      </c>
      <c r="O14" s="3">
        <v>6000</v>
      </c>
    </row>
    <row r="15" spans="1:15" s="4" customFormat="1" x14ac:dyDescent="0.25">
      <c r="A15" s="4" t="s">
        <v>46</v>
      </c>
      <c r="B15" s="4" t="s">
        <v>47</v>
      </c>
      <c r="C15" s="4" t="s">
        <v>18</v>
      </c>
      <c r="D15" s="4" t="s">
        <v>48</v>
      </c>
      <c r="E15" s="4" t="s">
        <v>38</v>
      </c>
      <c r="F15" s="4" t="s">
        <v>21</v>
      </c>
      <c r="G15" s="4" t="s">
        <v>49</v>
      </c>
      <c r="H15" s="4" t="s">
        <v>51</v>
      </c>
      <c r="I15" s="5">
        <v>2</v>
      </c>
      <c r="J15" s="5">
        <v>1200</v>
      </c>
      <c r="K15" s="5">
        <v>2400</v>
      </c>
      <c r="L15" s="5">
        <v>0</v>
      </c>
      <c r="M15" s="5">
        <v>0</v>
      </c>
      <c r="N15" s="5">
        <v>0</v>
      </c>
      <c r="O15" s="5">
        <v>2400</v>
      </c>
    </row>
    <row r="16" spans="1:15" x14ac:dyDescent="0.25">
      <c r="A16" t="s">
        <v>52</v>
      </c>
      <c r="B16" t="s">
        <v>53</v>
      </c>
      <c r="C16" t="s">
        <v>54</v>
      </c>
      <c r="D16" t="s">
        <v>55</v>
      </c>
      <c r="E16" t="s">
        <v>38</v>
      </c>
      <c r="F16" t="s">
        <v>21</v>
      </c>
      <c r="G16" t="s">
        <v>56</v>
      </c>
      <c r="H16" t="s">
        <v>57</v>
      </c>
      <c r="I16" s="3">
        <v>1</v>
      </c>
      <c r="J16" s="3">
        <v>10000</v>
      </c>
      <c r="K16" s="3">
        <v>10000</v>
      </c>
      <c r="L16" s="3">
        <v>0</v>
      </c>
      <c r="M16" s="3">
        <v>0</v>
      </c>
      <c r="N16" s="3">
        <v>0</v>
      </c>
      <c r="O16" s="3">
        <v>10000</v>
      </c>
    </row>
    <row r="17" spans="1:15" s="4" customFormat="1" x14ac:dyDescent="0.25">
      <c r="A17" s="4" t="s">
        <v>58</v>
      </c>
      <c r="B17" s="4" t="s">
        <v>59</v>
      </c>
      <c r="C17" s="4" t="s">
        <v>54</v>
      </c>
      <c r="D17" s="4" t="s">
        <v>55</v>
      </c>
      <c r="E17" s="4" t="s">
        <v>38</v>
      </c>
      <c r="F17" s="4" t="s">
        <v>21</v>
      </c>
      <c r="G17" s="4" t="s">
        <v>60</v>
      </c>
      <c r="H17" s="4" t="s">
        <v>61</v>
      </c>
      <c r="I17" s="5">
        <v>1</v>
      </c>
      <c r="J17" s="5">
        <v>26947</v>
      </c>
      <c r="K17" s="5">
        <v>26947</v>
      </c>
      <c r="L17" s="5">
        <v>0</v>
      </c>
      <c r="M17" s="5">
        <v>0</v>
      </c>
      <c r="N17" s="5">
        <v>0</v>
      </c>
      <c r="O17" s="5">
        <v>26947</v>
      </c>
    </row>
    <row r="18" spans="1:15" x14ac:dyDescent="0.25">
      <c r="A18" t="s">
        <v>62</v>
      </c>
      <c r="B18" t="s">
        <v>63</v>
      </c>
      <c r="C18" t="s">
        <v>18</v>
      </c>
      <c r="D18" t="s">
        <v>48</v>
      </c>
      <c r="E18" t="s">
        <v>38</v>
      </c>
      <c r="F18" t="s">
        <v>21</v>
      </c>
      <c r="G18" t="s">
        <v>64</v>
      </c>
      <c r="H18" t="s">
        <v>65</v>
      </c>
      <c r="I18" s="3">
        <v>4</v>
      </c>
      <c r="J18" s="3">
        <v>1200</v>
      </c>
      <c r="K18" s="3">
        <v>4800</v>
      </c>
      <c r="L18" s="3">
        <v>0</v>
      </c>
      <c r="M18" s="3">
        <v>0</v>
      </c>
      <c r="N18" s="3">
        <v>0</v>
      </c>
      <c r="O18" s="3">
        <v>4800</v>
      </c>
    </row>
    <row r="19" spans="1:15" s="4" customFormat="1" x14ac:dyDescent="0.25">
      <c r="A19" s="4" t="s">
        <v>24</v>
      </c>
      <c r="B19" s="4" t="s">
        <v>66</v>
      </c>
      <c r="C19" s="4" t="s">
        <v>24</v>
      </c>
      <c r="D19" s="4" t="s">
        <v>24</v>
      </c>
      <c r="E19" s="4" t="s">
        <v>38</v>
      </c>
      <c r="F19" s="4" t="s">
        <v>28</v>
      </c>
      <c r="G19" s="4" t="s">
        <v>29</v>
      </c>
      <c r="H19" s="4" t="s">
        <v>67</v>
      </c>
      <c r="I19" s="5">
        <v>1</v>
      </c>
      <c r="J19" s="5">
        <v>0</v>
      </c>
      <c r="K19" s="5">
        <v>3700</v>
      </c>
      <c r="L19" s="5">
        <v>0</v>
      </c>
      <c r="M19" s="5">
        <v>0</v>
      </c>
      <c r="N19" s="5">
        <v>0</v>
      </c>
      <c r="O19" s="5">
        <v>3700</v>
      </c>
    </row>
    <row r="20" spans="1:15" x14ac:dyDescent="0.25">
      <c r="A20" t="s">
        <v>68</v>
      </c>
      <c r="B20" t="s">
        <v>69</v>
      </c>
      <c r="C20" t="s">
        <v>54</v>
      </c>
      <c r="D20" t="s">
        <v>55</v>
      </c>
      <c r="E20" t="s">
        <v>70</v>
      </c>
      <c r="F20" t="s">
        <v>21</v>
      </c>
      <c r="G20" t="s">
        <v>71</v>
      </c>
      <c r="H20" t="s">
        <v>72</v>
      </c>
      <c r="I20" s="3">
        <v>1</v>
      </c>
      <c r="J20" s="3">
        <v>2464</v>
      </c>
      <c r="K20" s="3">
        <v>2464</v>
      </c>
      <c r="L20" s="3">
        <v>0</v>
      </c>
      <c r="M20" s="3">
        <v>0</v>
      </c>
      <c r="N20" s="3">
        <v>0</v>
      </c>
      <c r="O20" s="3">
        <v>2464</v>
      </c>
    </row>
    <row r="21" spans="1:15" s="4" customFormat="1" x14ac:dyDescent="0.25">
      <c r="A21" s="4" t="s">
        <v>73</v>
      </c>
      <c r="B21" s="4" t="s">
        <v>74</v>
      </c>
      <c r="C21" s="4" t="s">
        <v>54</v>
      </c>
      <c r="D21" s="4" t="s">
        <v>55</v>
      </c>
      <c r="E21" s="4" t="s">
        <v>75</v>
      </c>
      <c r="F21" s="4" t="s">
        <v>21</v>
      </c>
      <c r="G21" s="4" t="s">
        <v>76</v>
      </c>
      <c r="H21" s="4" t="s">
        <v>77</v>
      </c>
      <c r="I21" s="5">
        <v>1</v>
      </c>
      <c r="J21" s="5">
        <v>18000</v>
      </c>
      <c r="K21" s="5">
        <v>18000</v>
      </c>
      <c r="L21" s="5">
        <v>0</v>
      </c>
      <c r="M21" s="5">
        <v>0</v>
      </c>
      <c r="N21" s="5">
        <v>0</v>
      </c>
      <c r="O21" s="5">
        <v>18000</v>
      </c>
    </row>
    <row r="22" spans="1:15" x14ac:dyDescent="0.25">
      <c r="A22" t="s">
        <v>78</v>
      </c>
      <c r="B22" t="s">
        <v>79</v>
      </c>
      <c r="C22" t="s">
        <v>18</v>
      </c>
      <c r="D22" t="s">
        <v>19</v>
      </c>
      <c r="E22" t="s">
        <v>75</v>
      </c>
      <c r="F22" t="s">
        <v>21</v>
      </c>
      <c r="G22" t="s">
        <v>80</v>
      </c>
      <c r="H22" t="s">
        <v>81</v>
      </c>
      <c r="I22" s="3">
        <v>1</v>
      </c>
      <c r="J22" s="3">
        <v>6500</v>
      </c>
      <c r="K22" s="3">
        <v>6500</v>
      </c>
      <c r="L22" s="3">
        <v>0</v>
      </c>
      <c r="M22" s="3">
        <v>0</v>
      </c>
      <c r="N22" s="3">
        <v>0</v>
      </c>
      <c r="O22" s="3">
        <v>6500</v>
      </c>
    </row>
    <row r="23" spans="1:15" s="4" customFormat="1" x14ac:dyDescent="0.25">
      <c r="A23" s="4" t="s">
        <v>82</v>
      </c>
      <c r="B23" s="4" t="s">
        <v>83</v>
      </c>
      <c r="C23" s="4" t="s">
        <v>36</v>
      </c>
      <c r="D23" s="4" t="s">
        <v>44</v>
      </c>
      <c r="E23" s="4" t="s">
        <v>84</v>
      </c>
      <c r="F23" s="4" t="s">
        <v>39</v>
      </c>
      <c r="G23" s="4" t="s">
        <v>85</v>
      </c>
      <c r="H23" s="4" t="s">
        <v>86</v>
      </c>
      <c r="I23" s="5">
        <v>1</v>
      </c>
      <c r="J23" s="5">
        <v>34350</v>
      </c>
      <c r="K23" s="5">
        <v>34350</v>
      </c>
      <c r="L23" s="5">
        <v>0</v>
      </c>
      <c r="M23" s="5">
        <v>0</v>
      </c>
      <c r="N23" s="5">
        <v>0</v>
      </c>
      <c r="O23" s="5">
        <v>34350</v>
      </c>
    </row>
    <row r="24" spans="1:15" x14ac:dyDescent="0.25">
      <c r="A24" t="s">
        <v>87</v>
      </c>
      <c r="B24" t="s">
        <v>88</v>
      </c>
      <c r="C24" t="s">
        <v>54</v>
      </c>
      <c r="D24" t="s">
        <v>55</v>
      </c>
      <c r="E24" t="s">
        <v>84</v>
      </c>
      <c r="F24" t="s">
        <v>21</v>
      </c>
      <c r="G24" t="s">
        <v>89</v>
      </c>
      <c r="H24" t="s">
        <v>89</v>
      </c>
      <c r="I24" s="3">
        <v>1</v>
      </c>
      <c r="J24" s="3">
        <v>8226</v>
      </c>
      <c r="K24" s="3">
        <v>8226</v>
      </c>
      <c r="L24" s="3">
        <v>0</v>
      </c>
      <c r="M24" s="3">
        <v>0</v>
      </c>
      <c r="N24" s="3">
        <v>0</v>
      </c>
      <c r="O24" s="3">
        <v>8226</v>
      </c>
    </row>
    <row r="25" spans="1:15" s="4" customFormat="1" x14ac:dyDescent="0.25">
      <c r="A25" s="4" t="s">
        <v>87</v>
      </c>
      <c r="B25" s="4" t="s">
        <v>90</v>
      </c>
      <c r="C25" s="4" t="s">
        <v>54</v>
      </c>
      <c r="D25" s="4" t="s">
        <v>55</v>
      </c>
      <c r="E25" s="4" t="s">
        <v>84</v>
      </c>
      <c r="F25" s="4" t="s">
        <v>21</v>
      </c>
      <c r="G25" s="4" t="s">
        <v>89</v>
      </c>
      <c r="H25" s="4" t="s">
        <v>89</v>
      </c>
      <c r="I25" s="5">
        <v>1</v>
      </c>
      <c r="J25" s="5">
        <v>8226</v>
      </c>
      <c r="K25" s="5">
        <v>8226</v>
      </c>
      <c r="L25" s="5">
        <v>0</v>
      </c>
      <c r="M25" s="5">
        <v>0</v>
      </c>
      <c r="N25" s="5">
        <v>0</v>
      </c>
      <c r="O25" s="5">
        <v>8226</v>
      </c>
    </row>
    <row r="26" spans="1:15" x14ac:dyDescent="0.25">
      <c r="A26" t="s">
        <v>91</v>
      </c>
      <c r="B26" t="s">
        <v>92</v>
      </c>
      <c r="C26" t="s">
        <v>18</v>
      </c>
      <c r="D26" t="s">
        <v>19</v>
      </c>
      <c r="E26" t="s">
        <v>93</v>
      </c>
      <c r="F26" t="s">
        <v>21</v>
      </c>
      <c r="G26" t="s">
        <v>94</v>
      </c>
      <c r="H26" t="s">
        <v>94</v>
      </c>
      <c r="I26" s="3">
        <v>1</v>
      </c>
      <c r="J26" s="3">
        <v>10400</v>
      </c>
      <c r="K26" s="3">
        <v>10400</v>
      </c>
      <c r="L26" s="3">
        <v>0</v>
      </c>
      <c r="M26" s="3">
        <v>0</v>
      </c>
      <c r="N26" s="3">
        <v>0</v>
      </c>
      <c r="O26" s="3">
        <v>10400</v>
      </c>
    </row>
    <row r="27" spans="1:15" s="4" customFormat="1" x14ac:dyDescent="0.25">
      <c r="A27" s="4" t="s">
        <v>95</v>
      </c>
      <c r="B27" s="4" t="s">
        <v>96</v>
      </c>
      <c r="C27" s="4" t="s">
        <v>54</v>
      </c>
      <c r="D27" s="4" t="s">
        <v>97</v>
      </c>
      <c r="E27" s="4" t="s">
        <v>93</v>
      </c>
      <c r="F27" s="4" t="s">
        <v>21</v>
      </c>
      <c r="G27" s="4" t="s">
        <v>98</v>
      </c>
      <c r="H27" s="4" t="s">
        <v>98</v>
      </c>
      <c r="I27" s="5">
        <v>1</v>
      </c>
      <c r="J27" s="5">
        <v>25000</v>
      </c>
      <c r="K27" s="5">
        <v>25000</v>
      </c>
      <c r="L27" s="5">
        <v>0</v>
      </c>
      <c r="M27" s="5">
        <v>0</v>
      </c>
      <c r="N27" s="5">
        <v>0</v>
      </c>
      <c r="O27" s="5">
        <v>25000</v>
      </c>
    </row>
    <row r="28" spans="1:15" x14ac:dyDescent="0.25">
      <c r="A28" t="s">
        <v>24</v>
      </c>
      <c r="B28" t="s">
        <v>99</v>
      </c>
      <c r="C28" t="s">
        <v>100</v>
      </c>
      <c r="D28" t="s">
        <v>101</v>
      </c>
      <c r="E28" t="s">
        <v>93</v>
      </c>
      <c r="F28" t="s">
        <v>28</v>
      </c>
      <c r="G28" t="s">
        <v>102</v>
      </c>
      <c r="H28" t="s">
        <v>102</v>
      </c>
      <c r="I28" s="3">
        <v>1</v>
      </c>
      <c r="J28" s="3">
        <v>0</v>
      </c>
      <c r="K28" s="3">
        <v>5240</v>
      </c>
      <c r="L28" s="3">
        <v>0</v>
      </c>
      <c r="M28" s="3">
        <v>0</v>
      </c>
      <c r="N28" s="3">
        <v>0</v>
      </c>
      <c r="O28" s="3">
        <v>5240</v>
      </c>
    </row>
    <row r="29" spans="1:15" s="4" customFormat="1" x14ac:dyDescent="0.25">
      <c r="A29" s="4" t="s">
        <v>24</v>
      </c>
      <c r="B29" s="4" t="s">
        <v>103</v>
      </c>
      <c r="C29" s="4" t="s">
        <v>104</v>
      </c>
      <c r="D29" s="4" t="s">
        <v>24</v>
      </c>
      <c r="E29" s="4" t="s">
        <v>93</v>
      </c>
      <c r="F29" s="4" t="s">
        <v>28</v>
      </c>
      <c r="G29" s="4" t="s">
        <v>105</v>
      </c>
      <c r="H29" s="4" t="s">
        <v>106</v>
      </c>
      <c r="I29" s="5">
        <v>1</v>
      </c>
      <c r="J29" s="5">
        <v>0</v>
      </c>
      <c r="K29" s="5">
        <v>184</v>
      </c>
      <c r="L29" s="5">
        <v>0</v>
      </c>
      <c r="M29" s="5">
        <v>0</v>
      </c>
      <c r="N29" s="5">
        <v>0</v>
      </c>
      <c r="O29" s="5">
        <v>184</v>
      </c>
    </row>
    <row r="30" spans="1:15" x14ac:dyDescent="0.25">
      <c r="A30" t="s">
        <v>107</v>
      </c>
      <c r="B30" t="s">
        <v>108</v>
      </c>
      <c r="C30" t="s">
        <v>18</v>
      </c>
      <c r="D30" t="s">
        <v>19</v>
      </c>
      <c r="E30" t="s">
        <v>109</v>
      </c>
      <c r="F30" t="s">
        <v>21</v>
      </c>
      <c r="G30" t="s">
        <v>110</v>
      </c>
      <c r="H30" t="s">
        <v>110</v>
      </c>
      <c r="I30" s="3">
        <v>3</v>
      </c>
      <c r="J30" s="3">
        <v>1300</v>
      </c>
      <c r="K30" s="3">
        <v>3900</v>
      </c>
      <c r="L30" s="3">
        <v>0</v>
      </c>
      <c r="M30" s="3">
        <v>0</v>
      </c>
      <c r="N30" s="3">
        <v>0</v>
      </c>
      <c r="O30" s="3">
        <v>3900</v>
      </c>
    </row>
    <row r="31" spans="1:15" s="4" customFormat="1" x14ac:dyDescent="0.25">
      <c r="A31" s="4" t="s">
        <v>111</v>
      </c>
      <c r="B31" s="4" t="s">
        <v>112</v>
      </c>
      <c r="C31" s="4" t="s">
        <v>113</v>
      </c>
      <c r="D31" s="4" t="s">
        <v>114</v>
      </c>
      <c r="E31" s="4" t="s">
        <v>109</v>
      </c>
      <c r="F31" s="4" t="s">
        <v>39</v>
      </c>
      <c r="G31" s="4" t="s">
        <v>115</v>
      </c>
      <c r="H31" s="4" t="s">
        <v>115</v>
      </c>
      <c r="I31" s="5">
        <v>1</v>
      </c>
      <c r="J31" s="5">
        <v>490</v>
      </c>
      <c r="K31" s="5">
        <v>490</v>
      </c>
      <c r="L31" s="5">
        <v>0</v>
      </c>
      <c r="M31" s="5">
        <v>0</v>
      </c>
      <c r="N31" s="5">
        <v>0</v>
      </c>
      <c r="O31" s="5">
        <v>490</v>
      </c>
    </row>
    <row r="32" spans="1:15" x14ac:dyDescent="0.25">
      <c r="A32" t="s">
        <v>116</v>
      </c>
      <c r="B32" t="s">
        <v>117</v>
      </c>
      <c r="C32" t="s">
        <v>118</v>
      </c>
      <c r="D32" t="s">
        <v>119</v>
      </c>
      <c r="E32" t="s">
        <v>109</v>
      </c>
      <c r="F32" t="s">
        <v>21</v>
      </c>
      <c r="G32" t="s">
        <v>120</v>
      </c>
      <c r="H32" t="s">
        <v>121</v>
      </c>
      <c r="I32" s="3">
        <v>1</v>
      </c>
      <c r="J32" s="3">
        <v>8600</v>
      </c>
      <c r="K32" s="3">
        <v>8600</v>
      </c>
      <c r="L32" s="3">
        <v>0</v>
      </c>
      <c r="M32" s="3">
        <v>0</v>
      </c>
      <c r="N32" s="3">
        <v>0</v>
      </c>
      <c r="O32" s="3">
        <v>8600</v>
      </c>
    </row>
    <row r="33" spans="1:15" s="4" customFormat="1" x14ac:dyDescent="0.25">
      <c r="A33" s="4" t="s">
        <v>122</v>
      </c>
      <c r="B33" s="4" t="s">
        <v>123</v>
      </c>
      <c r="C33" s="4" t="s">
        <v>54</v>
      </c>
      <c r="D33" s="4" t="s">
        <v>97</v>
      </c>
      <c r="E33" s="4" t="s">
        <v>109</v>
      </c>
      <c r="F33" s="4" t="s">
        <v>21</v>
      </c>
      <c r="G33" s="4" t="s">
        <v>124</v>
      </c>
      <c r="H33" s="4" t="s">
        <v>124</v>
      </c>
      <c r="I33" s="5">
        <v>1</v>
      </c>
      <c r="J33" s="5">
        <v>9292</v>
      </c>
      <c r="K33" s="5">
        <v>9292</v>
      </c>
      <c r="L33" s="5">
        <v>0</v>
      </c>
      <c r="M33" s="5">
        <v>0</v>
      </c>
      <c r="N33" s="5">
        <v>0</v>
      </c>
      <c r="O33" s="5">
        <v>9292</v>
      </c>
    </row>
    <row r="34" spans="1:15" x14ac:dyDescent="0.25">
      <c r="A34" t="s">
        <v>125</v>
      </c>
      <c r="B34" t="s">
        <v>126</v>
      </c>
      <c r="C34" t="s">
        <v>127</v>
      </c>
      <c r="D34" t="s">
        <v>128</v>
      </c>
      <c r="E34" t="s">
        <v>109</v>
      </c>
      <c r="F34" t="s">
        <v>21</v>
      </c>
      <c r="G34" t="s">
        <v>129</v>
      </c>
      <c r="H34" t="s">
        <v>129</v>
      </c>
      <c r="I34" s="3">
        <v>1</v>
      </c>
      <c r="J34" s="3">
        <v>20000</v>
      </c>
      <c r="K34" s="3">
        <v>20000</v>
      </c>
      <c r="L34" s="3">
        <v>0</v>
      </c>
      <c r="M34" s="3">
        <v>0</v>
      </c>
      <c r="N34" s="3">
        <v>0</v>
      </c>
      <c r="O34" s="3">
        <v>20000</v>
      </c>
    </row>
    <row r="35" spans="1:15" s="4" customFormat="1" x14ac:dyDescent="0.25">
      <c r="A35" s="4" t="s">
        <v>130</v>
      </c>
      <c r="B35" s="4" t="s">
        <v>131</v>
      </c>
      <c r="C35" s="4" t="s">
        <v>118</v>
      </c>
      <c r="D35" s="4" t="s">
        <v>119</v>
      </c>
      <c r="E35" s="4" t="s">
        <v>109</v>
      </c>
      <c r="F35" s="4" t="s">
        <v>21</v>
      </c>
      <c r="G35" s="4" t="s">
        <v>121</v>
      </c>
      <c r="H35" s="4" t="s">
        <v>121</v>
      </c>
      <c r="I35" s="5">
        <v>1</v>
      </c>
      <c r="J35" s="5">
        <v>5000</v>
      </c>
      <c r="K35" s="5">
        <v>5000</v>
      </c>
      <c r="L35" s="5">
        <v>0</v>
      </c>
      <c r="M35" s="5">
        <v>0</v>
      </c>
      <c r="N35" s="5">
        <v>0</v>
      </c>
      <c r="O35" s="5">
        <v>5000</v>
      </c>
    </row>
    <row r="36" spans="1:15" x14ac:dyDescent="0.25">
      <c r="A36" t="s">
        <v>132</v>
      </c>
      <c r="B36" t="s">
        <v>133</v>
      </c>
      <c r="C36" t="s">
        <v>127</v>
      </c>
      <c r="D36" t="s">
        <v>128</v>
      </c>
      <c r="E36" t="s">
        <v>134</v>
      </c>
      <c r="F36" t="s">
        <v>21</v>
      </c>
      <c r="G36" t="s">
        <v>135</v>
      </c>
      <c r="H36" t="s">
        <v>136</v>
      </c>
      <c r="I36" s="3">
        <v>1</v>
      </c>
      <c r="J36" s="3">
        <v>10000</v>
      </c>
      <c r="K36" s="3">
        <v>10000</v>
      </c>
      <c r="L36" s="3">
        <v>0</v>
      </c>
      <c r="M36" s="3">
        <v>0</v>
      </c>
      <c r="N36" s="3">
        <v>0</v>
      </c>
      <c r="O36" s="3">
        <v>10000</v>
      </c>
    </row>
    <row r="37" spans="1:15" s="4" customFormat="1" x14ac:dyDescent="0.25">
      <c r="A37" s="4" t="s">
        <v>137</v>
      </c>
      <c r="B37" s="4" t="s">
        <v>138</v>
      </c>
      <c r="C37" s="4" t="s">
        <v>54</v>
      </c>
      <c r="D37" s="4" t="s">
        <v>97</v>
      </c>
      <c r="E37" s="4" t="s">
        <v>139</v>
      </c>
      <c r="F37" s="4" t="s">
        <v>21</v>
      </c>
      <c r="G37" s="4" t="s">
        <v>140</v>
      </c>
      <c r="H37" s="4" t="s">
        <v>140</v>
      </c>
      <c r="I37" s="5">
        <v>1</v>
      </c>
      <c r="J37" s="5">
        <v>5099</v>
      </c>
      <c r="K37" s="5">
        <v>5099</v>
      </c>
      <c r="L37" s="5">
        <v>0</v>
      </c>
      <c r="M37" s="5">
        <v>0</v>
      </c>
      <c r="N37" s="5">
        <v>0</v>
      </c>
      <c r="O37" s="5">
        <v>5099</v>
      </c>
    </row>
    <row r="38" spans="1:15" x14ac:dyDescent="0.25">
      <c r="A38" t="s">
        <v>141</v>
      </c>
      <c r="B38" t="s">
        <v>142</v>
      </c>
      <c r="C38" t="s">
        <v>127</v>
      </c>
      <c r="D38" t="s">
        <v>143</v>
      </c>
      <c r="E38" t="s">
        <v>139</v>
      </c>
      <c r="F38" t="s">
        <v>21</v>
      </c>
      <c r="G38" t="s">
        <v>144</v>
      </c>
      <c r="H38" t="s">
        <v>144</v>
      </c>
      <c r="I38" s="3">
        <v>1</v>
      </c>
      <c r="J38" s="3">
        <v>8500</v>
      </c>
      <c r="K38" s="3">
        <v>8500</v>
      </c>
      <c r="L38" s="3">
        <v>0</v>
      </c>
      <c r="M38" s="3">
        <v>0</v>
      </c>
      <c r="N38" s="3">
        <v>0</v>
      </c>
      <c r="O38" s="3">
        <v>8500</v>
      </c>
    </row>
    <row r="39" spans="1:15" s="4" customFormat="1" x14ac:dyDescent="0.25">
      <c r="A39" s="4" t="s">
        <v>145</v>
      </c>
      <c r="B39" s="4" t="s">
        <v>146</v>
      </c>
      <c r="C39" s="4" t="s">
        <v>54</v>
      </c>
      <c r="D39" s="4" t="s">
        <v>97</v>
      </c>
      <c r="E39" s="4" t="s">
        <v>147</v>
      </c>
      <c r="F39" s="4" t="s">
        <v>21</v>
      </c>
      <c r="G39" s="4" t="s">
        <v>148</v>
      </c>
      <c r="H39" s="4" t="s">
        <v>148</v>
      </c>
      <c r="I39" s="5">
        <v>1</v>
      </c>
      <c r="J39" s="5">
        <v>15874</v>
      </c>
      <c r="K39" s="5">
        <v>15874</v>
      </c>
      <c r="L39" s="5">
        <v>0</v>
      </c>
      <c r="M39" s="5">
        <v>0</v>
      </c>
      <c r="N39" s="5">
        <v>0</v>
      </c>
      <c r="O39" s="5">
        <v>15874</v>
      </c>
    </row>
    <row r="40" spans="1:15" x14ac:dyDescent="0.25">
      <c r="A40" t="s">
        <v>149</v>
      </c>
      <c r="B40" t="s">
        <v>150</v>
      </c>
      <c r="C40" t="s">
        <v>127</v>
      </c>
      <c r="D40" t="s">
        <v>143</v>
      </c>
      <c r="E40" t="s">
        <v>147</v>
      </c>
      <c r="F40" t="s">
        <v>21</v>
      </c>
      <c r="G40" t="s">
        <v>151</v>
      </c>
      <c r="H40" t="s">
        <v>151</v>
      </c>
      <c r="I40" s="3">
        <v>1</v>
      </c>
      <c r="J40" s="3">
        <v>5000</v>
      </c>
      <c r="K40" s="3">
        <v>5000</v>
      </c>
      <c r="L40" s="3">
        <v>0</v>
      </c>
      <c r="M40" s="3">
        <v>0</v>
      </c>
      <c r="N40" s="3">
        <v>0</v>
      </c>
      <c r="O40" s="3">
        <v>5000</v>
      </c>
    </row>
    <row r="41" spans="1:15" s="4" customFormat="1" x14ac:dyDescent="0.25">
      <c r="A41" s="4" t="s">
        <v>152</v>
      </c>
      <c r="B41" s="4" t="s">
        <v>153</v>
      </c>
      <c r="C41" s="4" t="s">
        <v>36</v>
      </c>
      <c r="D41" s="4" t="s">
        <v>154</v>
      </c>
      <c r="E41" s="4" t="s">
        <v>155</v>
      </c>
      <c r="F41" s="4" t="s">
        <v>39</v>
      </c>
      <c r="G41" s="4" t="s">
        <v>156</v>
      </c>
      <c r="H41" s="4" t="s">
        <v>156</v>
      </c>
      <c r="I41" s="5">
        <v>1</v>
      </c>
      <c r="J41" s="5">
        <v>35700</v>
      </c>
      <c r="K41" s="5">
        <v>35700</v>
      </c>
      <c r="L41" s="5">
        <v>0</v>
      </c>
      <c r="M41" s="5">
        <v>0</v>
      </c>
      <c r="N41" s="5">
        <v>0</v>
      </c>
      <c r="O41" s="5">
        <v>35700</v>
      </c>
    </row>
    <row r="42" spans="1:15" x14ac:dyDescent="0.25">
      <c r="A42" t="s">
        <v>157</v>
      </c>
      <c r="B42" t="s">
        <v>158</v>
      </c>
      <c r="C42" t="s">
        <v>159</v>
      </c>
      <c r="D42" t="s">
        <v>160</v>
      </c>
      <c r="E42" t="s">
        <v>155</v>
      </c>
      <c r="F42" t="s">
        <v>39</v>
      </c>
      <c r="G42" t="s">
        <v>161</v>
      </c>
      <c r="H42" t="s">
        <v>162</v>
      </c>
      <c r="I42" s="3">
        <v>1</v>
      </c>
      <c r="J42" s="3">
        <v>12000</v>
      </c>
      <c r="K42" s="3">
        <v>12000</v>
      </c>
      <c r="L42" s="3">
        <v>0</v>
      </c>
      <c r="M42" s="3">
        <v>0</v>
      </c>
      <c r="N42" s="3">
        <v>0</v>
      </c>
      <c r="O42" s="3">
        <v>12000</v>
      </c>
    </row>
    <row r="43" spans="1:15" s="4" customFormat="1" x14ac:dyDescent="0.25">
      <c r="A43" s="4" t="s">
        <v>24</v>
      </c>
      <c r="B43" s="4" t="s">
        <v>163</v>
      </c>
      <c r="C43" s="4" t="s">
        <v>164</v>
      </c>
      <c r="D43" s="4" t="s">
        <v>24</v>
      </c>
      <c r="E43" s="4" t="s">
        <v>38</v>
      </c>
      <c r="F43" s="4" t="s">
        <v>28</v>
      </c>
      <c r="G43" s="4" t="s">
        <v>165</v>
      </c>
      <c r="H43" s="4" t="s">
        <v>166</v>
      </c>
      <c r="I43" s="5">
        <v>1</v>
      </c>
      <c r="J43" s="5">
        <v>0</v>
      </c>
      <c r="K43" s="5">
        <v>500</v>
      </c>
      <c r="L43" s="5">
        <v>0</v>
      </c>
      <c r="M43" s="5">
        <v>0</v>
      </c>
      <c r="N43" s="5">
        <v>0</v>
      </c>
      <c r="O43" s="5">
        <v>500</v>
      </c>
    </row>
    <row r="44" spans="1:15" x14ac:dyDescent="0.25">
      <c r="A44" t="s">
        <v>167</v>
      </c>
      <c r="B44" t="s">
        <v>168</v>
      </c>
      <c r="C44" t="s">
        <v>36</v>
      </c>
      <c r="D44" t="s">
        <v>169</v>
      </c>
      <c r="E44" t="s">
        <v>170</v>
      </c>
      <c r="F44" t="s">
        <v>39</v>
      </c>
      <c r="G44" t="s">
        <v>171</v>
      </c>
      <c r="H44" t="s">
        <v>171</v>
      </c>
      <c r="I44" s="3">
        <v>7</v>
      </c>
      <c r="J44" s="3">
        <v>4300</v>
      </c>
      <c r="K44" s="3">
        <v>30100</v>
      </c>
      <c r="L44" s="3">
        <v>0</v>
      </c>
      <c r="M44" s="3">
        <v>0</v>
      </c>
      <c r="N44" s="3">
        <v>0</v>
      </c>
      <c r="O44" s="3">
        <v>30100</v>
      </c>
    </row>
    <row r="45" spans="1:15" s="4" customFormat="1" x14ac:dyDescent="0.25">
      <c r="A45" s="4" t="s">
        <v>167</v>
      </c>
      <c r="B45" s="4" t="s">
        <v>172</v>
      </c>
      <c r="C45" s="4" t="s">
        <v>36</v>
      </c>
      <c r="D45" s="4" t="s">
        <v>169</v>
      </c>
      <c r="E45" s="4" t="s">
        <v>170</v>
      </c>
      <c r="F45" s="4" t="s">
        <v>39</v>
      </c>
      <c r="G45" s="4" t="s">
        <v>171</v>
      </c>
      <c r="H45" s="4" t="s">
        <v>171</v>
      </c>
      <c r="I45" s="5">
        <v>7</v>
      </c>
      <c r="J45" s="5">
        <v>4300</v>
      </c>
      <c r="K45" s="5">
        <v>30100</v>
      </c>
      <c r="L45" s="5">
        <v>0</v>
      </c>
      <c r="M45" s="5">
        <v>0</v>
      </c>
      <c r="N45" s="5">
        <v>0</v>
      </c>
      <c r="O45" s="5">
        <v>30100</v>
      </c>
    </row>
    <row r="46" spans="1:15" x14ac:dyDescent="0.25">
      <c r="A46" t="s">
        <v>173</v>
      </c>
      <c r="B46" t="s">
        <v>174</v>
      </c>
      <c r="C46" t="s">
        <v>54</v>
      </c>
      <c r="D46" t="s">
        <v>55</v>
      </c>
      <c r="E46" t="s">
        <v>170</v>
      </c>
      <c r="F46" t="s">
        <v>21</v>
      </c>
      <c r="G46" t="s">
        <v>175</v>
      </c>
      <c r="H46" t="s">
        <v>175</v>
      </c>
      <c r="I46" s="3">
        <v>1</v>
      </c>
      <c r="J46" s="3">
        <v>10286</v>
      </c>
      <c r="K46" s="3">
        <v>10286</v>
      </c>
      <c r="L46" s="3">
        <v>0</v>
      </c>
      <c r="M46" s="3">
        <v>0</v>
      </c>
      <c r="N46" s="3">
        <v>0</v>
      </c>
      <c r="O46" s="3">
        <v>10286</v>
      </c>
    </row>
    <row r="47" spans="1:15" s="4" customFormat="1" x14ac:dyDescent="0.25">
      <c r="A47" s="4" t="s">
        <v>173</v>
      </c>
      <c r="B47" s="4" t="s">
        <v>176</v>
      </c>
      <c r="C47" s="4" t="s">
        <v>54</v>
      </c>
      <c r="D47" s="4" t="s">
        <v>55</v>
      </c>
      <c r="E47" s="4" t="s">
        <v>170</v>
      </c>
      <c r="F47" s="4" t="s">
        <v>21</v>
      </c>
      <c r="G47" s="4" t="s">
        <v>175</v>
      </c>
      <c r="H47" s="4" t="s">
        <v>175</v>
      </c>
      <c r="I47" s="5">
        <v>1</v>
      </c>
      <c r="J47" s="5">
        <v>10286</v>
      </c>
      <c r="K47" s="5">
        <v>10286</v>
      </c>
      <c r="L47" s="5">
        <v>0</v>
      </c>
      <c r="M47" s="5">
        <v>0</v>
      </c>
      <c r="N47" s="5">
        <v>0</v>
      </c>
      <c r="O47" s="5">
        <v>10286</v>
      </c>
    </row>
    <row r="48" spans="1:15" x14ac:dyDescent="0.25">
      <c r="A48" t="s">
        <v>173</v>
      </c>
      <c r="B48" t="s">
        <v>177</v>
      </c>
      <c r="C48" t="s">
        <v>54</v>
      </c>
      <c r="D48" t="s">
        <v>55</v>
      </c>
      <c r="E48" t="s">
        <v>170</v>
      </c>
      <c r="F48" t="s">
        <v>21</v>
      </c>
      <c r="G48" t="s">
        <v>175</v>
      </c>
      <c r="H48" t="s">
        <v>175</v>
      </c>
      <c r="I48" s="3">
        <v>1</v>
      </c>
      <c r="J48" s="3">
        <v>10286</v>
      </c>
      <c r="K48" s="3">
        <v>10286</v>
      </c>
      <c r="L48" s="3">
        <v>0</v>
      </c>
      <c r="M48" s="3">
        <v>0</v>
      </c>
      <c r="N48" s="3">
        <v>0</v>
      </c>
      <c r="O48" s="3">
        <v>10286</v>
      </c>
    </row>
    <row r="49" spans="1:15" s="4" customFormat="1" x14ac:dyDescent="0.25">
      <c r="A49" s="4" t="s">
        <v>178</v>
      </c>
      <c r="B49" s="4" t="s">
        <v>179</v>
      </c>
      <c r="C49" s="4" t="s">
        <v>54</v>
      </c>
      <c r="D49" s="4" t="s">
        <v>97</v>
      </c>
      <c r="E49" s="4" t="s">
        <v>180</v>
      </c>
      <c r="F49" s="4" t="s">
        <v>21</v>
      </c>
      <c r="G49" s="4" t="s">
        <v>181</v>
      </c>
      <c r="H49" s="4" t="s">
        <v>182</v>
      </c>
      <c r="I49" s="5">
        <v>1</v>
      </c>
      <c r="J49" s="5">
        <v>20997</v>
      </c>
      <c r="K49" s="5">
        <v>20997</v>
      </c>
      <c r="L49" s="5">
        <v>0</v>
      </c>
      <c r="M49" s="5">
        <v>0</v>
      </c>
      <c r="N49" s="5">
        <v>0</v>
      </c>
      <c r="O49" s="5">
        <v>20997</v>
      </c>
    </row>
    <row r="50" spans="1:15" x14ac:dyDescent="0.25">
      <c r="A50" t="s">
        <v>24</v>
      </c>
      <c r="B50" t="s">
        <v>183</v>
      </c>
      <c r="C50" t="s">
        <v>24</v>
      </c>
      <c r="D50" t="s">
        <v>24</v>
      </c>
      <c r="E50" t="s">
        <v>155</v>
      </c>
      <c r="F50" t="s">
        <v>28</v>
      </c>
      <c r="G50" t="s">
        <v>184</v>
      </c>
      <c r="H50" t="s">
        <v>185</v>
      </c>
      <c r="I50" s="3">
        <v>1</v>
      </c>
      <c r="J50" s="3">
        <v>0</v>
      </c>
      <c r="K50" s="3">
        <v>440</v>
      </c>
      <c r="L50" s="3">
        <v>0</v>
      </c>
      <c r="M50" s="3">
        <v>0</v>
      </c>
      <c r="N50" s="3">
        <v>0</v>
      </c>
      <c r="O50" s="3">
        <v>440</v>
      </c>
    </row>
    <row r="51" spans="1:15" s="4" customFormat="1" x14ac:dyDescent="0.25">
      <c r="A51" s="4" t="s">
        <v>24</v>
      </c>
      <c r="B51" s="4" t="s">
        <v>186</v>
      </c>
      <c r="C51" s="4" t="s">
        <v>24</v>
      </c>
      <c r="D51" s="4" t="s">
        <v>24</v>
      </c>
      <c r="E51" s="4" t="s">
        <v>147</v>
      </c>
      <c r="F51" s="4" t="s">
        <v>28</v>
      </c>
      <c r="G51" s="4" t="s">
        <v>184</v>
      </c>
      <c r="H51" s="4" t="s">
        <v>187</v>
      </c>
      <c r="I51" s="5">
        <v>1</v>
      </c>
      <c r="J51" s="5">
        <v>0</v>
      </c>
      <c r="K51" s="5">
        <v>4000</v>
      </c>
      <c r="L51" s="5">
        <v>0</v>
      </c>
      <c r="M51" s="5">
        <v>0</v>
      </c>
      <c r="N51" s="5">
        <v>0</v>
      </c>
      <c r="O51" s="5">
        <v>4000</v>
      </c>
    </row>
    <row r="52" spans="1:15" x14ac:dyDescent="0.25">
      <c r="A52" t="s">
        <v>24</v>
      </c>
      <c r="B52" t="s">
        <v>188</v>
      </c>
      <c r="C52" t="s">
        <v>24</v>
      </c>
      <c r="D52" t="s">
        <v>24</v>
      </c>
      <c r="E52" t="s">
        <v>189</v>
      </c>
      <c r="F52" t="s">
        <v>28</v>
      </c>
      <c r="G52" t="s">
        <v>184</v>
      </c>
      <c r="H52" t="s">
        <v>190</v>
      </c>
      <c r="I52" s="3">
        <v>1</v>
      </c>
      <c r="J52" s="3">
        <v>0</v>
      </c>
      <c r="K52" s="3">
        <v>1680</v>
      </c>
      <c r="L52" s="3">
        <v>0</v>
      </c>
      <c r="M52" s="3">
        <v>0</v>
      </c>
      <c r="N52" s="3">
        <v>0</v>
      </c>
      <c r="O52" s="3">
        <v>1680</v>
      </c>
    </row>
    <row r="53" spans="1:15" s="4" customFormat="1" x14ac:dyDescent="0.25">
      <c r="A53" s="4" t="s">
        <v>191</v>
      </c>
      <c r="B53" s="4" t="s">
        <v>192</v>
      </c>
      <c r="C53" s="4" t="s">
        <v>54</v>
      </c>
      <c r="D53" s="4" t="s">
        <v>97</v>
      </c>
      <c r="E53" s="4" t="s">
        <v>193</v>
      </c>
      <c r="F53" s="4" t="s">
        <v>21</v>
      </c>
      <c r="G53" s="4" t="s">
        <v>194</v>
      </c>
      <c r="H53" s="4" t="s">
        <v>194</v>
      </c>
      <c r="I53" s="5">
        <v>1</v>
      </c>
      <c r="J53" s="5">
        <v>10390</v>
      </c>
      <c r="K53" s="5">
        <v>10390</v>
      </c>
      <c r="L53" s="5">
        <v>0</v>
      </c>
      <c r="M53" s="5">
        <v>0</v>
      </c>
      <c r="N53" s="5">
        <v>0</v>
      </c>
      <c r="O53" s="5">
        <v>10390</v>
      </c>
    </row>
    <row r="54" spans="1:15" x14ac:dyDescent="0.25">
      <c r="A54" t="s">
        <v>191</v>
      </c>
      <c r="B54" t="s">
        <v>195</v>
      </c>
      <c r="C54" t="s">
        <v>54</v>
      </c>
      <c r="D54" t="s">
        <v>97</v>
      </c>
      <c r="E54" t="s">
        <v>193</v>
      </c>
      <c r="F54" t="s">
        <v>21</v>
      </c>
      <c r="G54" t="s">
        <v>194</v>
      </c>
      <c r="H54" t="s">
        <v>194</v>
      </c>
      <c r="I54" s="3">
        <v>1</v>
      </c>
      <c r="J54" s="3">
        <v>10390</v>
      </c>
      <c r="K54" s="3">
        <v>10390</v>
      </c>
      <c r="L54" s="3">
        <v>0</v>
      </c>
      <c r="M54" s="3">
        <v>0</v>
      </c>
      <c r="N54" s="3">
        <v>0</v>
      </c>
      <c r="O54" s="3">
        <v>10390</v>
      </c>
    </row>
    <row r="55" spans="1:15" s="4" customFormat="1" x14ac:dyDescent="0.25">
      <c r="A55" s="4" t="s">
        <v>24</v>
      </c>
      <c r="B55" s="4" t="s">
        <v>196</v>
      </c>
      <c r="C55" s="4" t="s">
        <v>24</v>
      </c>
      <c r="D55" s="4" t="s">
        <v>24</v>
      </c>
      <c r="E55" s="4" t="s">
        <v>197</v>
      </c>
      <c r="F55" s="4" t="s">
        <v>28</v>
      </c>
      <c r="G55" s="4" t="s">
        <v>184</v>
      </c>
      <c r="H55" s="4" t="s">
        <v>198</v>
      </c>
      <c r="I55" s="5">
        <v>1</v>
      </c>
      <c r="J55" s="5">
        <v>0</v>
      </c>
      <c r="K55" s="5">
        <v>2700</v>
      </c>
      <c r="L55" s="5">
        <v>0</v>
      </c>
      <c r="M55" s="5">
        <v>0</v>
      </c>
      <c r="N55" s="5">
        <v>0</v>
      </c>
      <c r="O55" s="5">
        <v>2700</v>
      </c>
    </row>
    <row r="56" spans="1:15" x14ac:dyDescent="0.25">
      <c r="A56" t="s">
        <v>24</v>
      </c>
      <c r="B56" t="s">
        <v>199</v>
      </c>
      <c r="C56" t="s">
        <v>24</v>
      </c>
      <c r="D56" t="s">
        <v>24</v>
      </c>
      <c r="E56" t="s">
        <v>84</v>
      </c>
      <c r="F56" t="s">
        <v>28</v>
      </c>
      <c r="G56" t="s">
        <v>184</v>
      </c>
      <c r="H56" t="s">
        <v>200</v>
      </c>
      <c r="I56" s="3">
        <v>1</v>
      </c>
      <c r="J56" s="3">
        <v>0</v>
      </c>
      <c r="K56" s="3">
        <v>1390</v>
      </c>
      <c r="L56" s="3">
        <v>0</v>
      </c>
      <c r="M56" s="3">
        <v>0</v>
      </c>
      <c r="N56" s="3">
        <v>0</v>
      </c>
      <c r="O56" s="3">
        <v>1390</v>
      </c>
    </row>
    <row r="57" spans="1:15" s="4" customFormat="1" x14ac:dyDescent="0.25">
      <c r="A57" s="4" t="s">
        <v>24</v>
      </c>
      <c r="B57" s="4" t="s">
        <v>201</v>
      </c>
      <c r="C57" s="4" t="s">
        <v>24</v>
      </c>
      <c r="D57" s="4" t="s">
        <v>24</v>
      </c>
      <c r="E57" s="4" t="s">
        <v>202</v>
      </c>
      <c r="F57" s="4" t="s">
        <v>28</v>
      </c>
      <c r="G57" s="4" t="s">
        <v>184</v>
      </c>
      <c r="H57" s="4" t="s">
        <v>203</v>
      </c>
      <c r="I57" s="5">
        <v>1</v>
      </c>
      <c r="J57" s="5">
        <v>0</v>
      </c>
      <c r="K57" s="5">
        <v>4000</v>
      </c>
      <c r="L57" s="5">
        <v>0</v>
      </c>
      <c r="M57" s="5">
        <v>0</v>
      </c>
      <c r="N57" s="5">
        <v>0</v>
      </c>
      <c r="O57" s="5">
        <v>4000</v>
      </c>
    </row>
    <row r="58" spans="1:15" x14ac:dyDescent="0.25">
      <c r="A58" t="s">
        <v>24</v>
      </c>
      <c r="B58" t="s">
        <v>204</v>
      </c>
      <c r="C58" t="s">
        <v>24</v>
      </c>
      <c r="D58" t="s">
        <v>24</v>
      </c>
      <c r="E58" t="s">
        <v>205</v>
      </c>
      <c r="F58" t="s">
        <v>28</v>
      </c>
      <c r="G58" t="s">
        <v>184</v>
      </c>
      <c r="H58" t="s">
        <v>206</v>
      </c>
      <c r="I58" s="3">
        <v>1</v>
      </c>
      <c r="J58" s="3">
        <v>0</v>
      </c>
      <c r="K58" s="3">
        <v>100</v>
      </c>
      <c r="L58" s="3">
        <v>0</v>
      </c>
      <c r="M58" s="3">
        <v>0</v>
      </c>
      <c r="N58" s="3">
        <v>0</v>
      </c>
      <c r="O58" s="3">
        <v>100</v>
      </c>
    </row>
    <row r="59" spans="1:15" s="4" customFormat="1" x14ac:dyDescent="0.25">
      <c r="A59" s="4" t="s">
        <v>24</v>
      </c>
      <c r="B59" s="4" t="s">
        <v>207</v>
      </c>
      <c r="C59" s="4" t="s">
        <v>24</v>
      </c>
      <c r="D59" s="4" t="s">
        <v>24</v>
      </c>
      <c r="E59" s="4" t="s">
        <v>208</v>
      </c>
      <c r="F59" s="4" t="s">
        <v>28</v>
      </c>
      <c r="G59" s="4" t="s">
        <v>184</v>
      </c>
      <c r="H59" s="4" t="s">
        <v>209</v>
      </c>
      <c r="I59" s="5">
        <v>1</v>
      </c>
      <c r="J59" s="5">
        <v>0</v>
      </c>
      <c r="K59" s="5">
        <v>1850</v>
      </c>
      <c r="L59" s="5">
        <v>0</v>
      </c>
      <c r="M59" s="5">
        <v>0</v>
      </c>
      <c r="N59" s="5">
        <v>0</v>
      </c>
      <c r="O59" s="5">
        <v>1850</v>
      </c>
    </row>
    <row r="60" spans="1:15" x14ac:dyDescent="0.25">
      <c r="A60" t="s">
        <v>24</v>
      </c>
      <c r="B60" t="s">
        <v>210</v>
      </c>
      <c r="C60" t="s">
        <v>24</v>
      </c>
      <c r="D60" t="s">
        <v>24</v>
      </c>
      <c r="E60" t="s">
        <v>38</v>
      </c>
      <c r="F60" t="s">
        <v>28</v>
      </c>
      <c r="G60" t="s">
        <v>184</v>
      </c>
      <c r="H60" t="s">
        <v>211</v>
      </c>
      <c r="I60" s="3">
        <v>1</v>
      </c>
      <c r="J60" s="3">
        <v>0</v>
      </c>
      <c r="K60" s="3">
        <v>698</v>
      </c>
      <c r="L60" s="3">
        <v>0</v>
      </c>
      <c r="M60" s="3">
        <v>0</v>
      </c>
      <c r="N60" s="3">
        <v>0</v>
      </c>
      <c r="O60" s="3">
        <v>698</v>
      </c>
    </row>
    <row r="61" spans="1:15" s="4" customFormat="1" x14ac:dyDescent="0.25">
      <c r="A61" s="4" t="s">
        <v>212</v>
      </c>
      <c r="B61" s="4" t="s">
        <v>213</v>
      </c>
      <c r="C61" s="4" t="s">
        <v>118</v>
      </c>
      <c r="D61" s="4" t="s">
        <v>119</v>
      </c>
      <c r="E61" s="4" t="s">
        <v>214</v>
      </c>
      <c r="F61" s="4" t="s">
        <v>21</v>
      </c>
      <c r="G61" s="4" t="s">
        <v>215</v>
      </c>
      <c r="H61" s="4" t="s">
        <v>215</v>
      </c>
      <c r="I61" s="5">
        <v>1</v>
      </c>
      <c r="J61" s="5">
        <v>20000</v>
      </c>
      <c r="K61" s="5">
        <v>20000</v>
      </c>
      <c r="L61" s="5">
        <v>0</v>
      </c>
      <c r="M61" s="5">
        <v>0</v>
      </c>
      <c r="N61" s="5">
        <v>0</v>
      </c>
      <c r="O61" s="5">
        <v>20000</v>
      </c>
    </row>
    <row r="62" spans="1:15" x14ac:dyDescent="0.25">
      <c r="A62" t="s">
        <v>216</v>
      </c>
      <c r="B62" t="s">
        <v>217</v>
      </c>
      <c r="C62" t="s">
        <v>113</v>
      </c>
      <c r="D62" t="s">
        <v>218</v>
      </c>
      <c r="E62" t="s">
        <v>214</v>
      </c>
      <c r="F62" t="s">
        <v>39</v>
      </c>
      <c r="G62" t="s">
        <v>219</v>
      </c>
      <c r="H62" t="s">
        <v>220</v>
      </c>
      <c r="I62" s="3">
        <v>1</v>
      </c>
      <c r="J62" s="3">
        <v>26090</v>
      </c>
      <c r="K62" s="3">
        <v>26090</v>
      </c>
      <c r="L62" s="3">
        <v>0</v>
      </c>
      <c r="M62" s="3">
        <v>0</v>
      </c>
      <c r="N62" s="3">
        <v>0</v>
      </c>
      <c r="O62" s="3">
        <v>26090</v>
      </c>
    </row>
    <row r="63" spans="1:15" s="4" customFormat="1" x14ac:dyDescent="0.25">
      <c r="A63" s="4" t="s">
        <v>24</v>
      </c>
      <c r="B63" s="4" t="s">
        <v>221</v>
      </c>
      <c r="C63" s="4" t="s">
        <v>24</v>
      </c>
      <c r="D63" s="4" t="s">
        <v>24</v>
      </c>
      <c r="E63" s="4" t="s">
        <v>222</v>
      </c>
      <c r="F63" s="4" t="s">
        <v>28</v>
      </c>
      <c r="G63" s="4" t="s">
        <v>184</v>
      </c>
      <c r="H63" s="4" t="s">
        <v>223</v>
      </c>
      <c r="I63" s="5">
        <v>1</v>
      </c>
      <c r="J63" s="5">
        <v>0</v>
      </c>
      <c r="K63" s="5">
        <v>3330</v>
      </c>
      <c r="L63" s="5">
        <v>0</v>
      </c>
      <c r="M63" s="5">
        <v>0</v>
      </c>
      <c r="N63" s="5">
        <v>0</v>
      </c>
      <c r="O63" s="5">
        <v>3330</v>
      </c>
    </row>
    <row r="64" spans="1:15" x14ac:dyDescent="0.25">
      <c r="A64" t="s">
        <v>24</v>
      </c>
      <c r="B64" t="s">
        <v>224</v>
      </c>
      <c r="C64" t="s">
        <v>24</v>
      </c>
      <c r="D64" t="s">
        <v>24</v>
      </c>
      <c r="E64" t="s">
        <v>225</v>
      </c>
      <c r="F64" t="s">
        <v>28</v>
      </c>
      <c r="G64" t="s">
        <v>184</v>
      </c>
      <c r="H64" t="s">
        <v>226</v>
      </c>
      <c r="I64" s="3">
        <v>1</v>
      </c>
      <c r="J64" s="3">
        <v>0</v>
      </c>
      <c r="K64" s="3">
        <v>6220</v>
      </c>
      <c r="L64" s="3">
        <v>0</v>
      </c>
      <c r="M64" s="3">
        <v>0</v>
      </c>
      <c r="N64" s="3">
        <v>0</v>
      </c>
      <c r="O64" s="3">
        <v>6220</v>
      </c>
    </row>
    <row r="65" spans="1:15" s="4" customFormat="1" x14ac:dyDescent="0.25">
      <c r="A65" s="4" t="s">
        <v>24</v>
      </c>
      <c r="B65" s="4" t="s">
        <v>227</v>
      </c>
      <c r="C65" s="4" t="s">
        <v>228</v>
      </c>
      <c r="D65" s="4" t="s">
        <v>24</v>
      </c>
      <c r="E65" s="4" t="s">
        <v>229</v>
      </c>
      <c r="F65" s="4" t="s">
        <v>28</v>
      </c>
      <c r="G65" s="4" t="s">
        <v>184</v>
      </c>
      <c r="H65" s="4" t="s">
        <v>230</v>
      </c>
      <c r="I65" s="5">
        <v>1</v>
      </c>
      <c r="J65" s="5">
        <v>0</v>
      </c>
      <c r="K65" s="5">
        <v>2500</v>
      </c>
      <c r="L65" s="5">
        <v>0</v>
      </c>
      <c r="M65" s="5">
        <v>0</v>
      </c>
      <c r="N65" s="5">
        <v>0</v>
      </c>
      <c r="O65" s="5">
        <v>2500</v>
      </c>
    </row>
    <row r="66" spans="1:15" x14ac:dyDescent="0.25">
      <c r="A66" t="s">
        <v>24</v>
      </c>
      <c r="B66" t="s">
        <v>231</v>
      </c>
      <c r="C66" t="s">
        <v>24</v>
      </c>
      <c r="D66" t="s">
        <v>24</v>
      </c>
      <c r="E66" t="s">
        <v>20</v>
      </c>
      <c r="F66" t="s">
        <v>28</v>
      </c>
      <c r="G66" t="s">
        <v>184</v>
      </c>
      <c r="H66" t="s">
        <v>232</v>
      </c>
      <c r="I66" s="3">
        <v>1</v>
      </c>
      <c r="J66" s="3">
        <v>0</v>
      </c>
      <c r="K66" s="3">
        <v>400</v>
      </c>
      <c r="L66" s="3">
        <v>0</v>
      </c>
      <c r="M66" s="3">
        <v>0</v>
      </c>
      <c r="N66" s="3">
        <v>0</v>
      </c>
      <c r="O66" s="3">
        <v>400</v>
      </c>
    </row>
    <row r="67" spans="1:15" s="4" customFormat="1" x14ac:dyDescent="0.25">
      <c r="A67" s="4" t="s">
        <v>233</v>
      </c>
      <c r="B67" s="4" t="s">
        <v>234</v>
      </c>
      <c r="C67" s="4" t="s">
        <v>54</v>
      </c>
      <c r="D67" s="4" t="s">
        <v>55</v>
      </c>
      <c r="E67" s="4" t="s">
        <v>235</v>
      </c>
      <c r="F67" s="4" t="s">
        <v>21</v>
      </c>
      <c r="G67" s="4" t="s">
        <v>236</v>
      </c>
      <c r="H67" s="4" t="s">
        <v>236</v>
      </c>
      <c r="I67" s="5">
        <v>1</v>
      </c>
      <c r="J67" s="5">
        <v>12028</v>
      </c>
      <c r="K67" s="5">
        <v>12028</v>
      </c>
      <c r="L67" s="5">
        <v>0</v>
      </c>
      <c r="M67" s="5">
        <v>0</v>
      </c>
      <c r="N67" s="5">
        <v>0</v>
      </c>
      <c r="O67" s="5">
        <v>12028</v>
      </c>
    </row>
    <row r="68" spans="1:15" x14ac:dyDescent="0.25">
      <c r="A68" t="s">
        <v>233</v>
      </c>
      <c r="B68" t="s">
        <v>237</v>
      </c>
      <c r="C68" t="s">
        <v>54</v>
      </c>
      <c r="D68" t="s">
        <v>55</v>
      </c>
      <c r="E68" t="s">
        <v>235</v>
      </c>
      <c r="F68" t="s">
        <v>21</v>
      </c>
      <c r="G68" t="s">
        <v>236</v>
      </c>
      <c r="H68" t="s">
        <v>236</v>
      </c>
      <c r="I68" s="3">
        <v>1</v>
      </c>
      <c r="J68" s="3">
        <v>12028</v>
      </c>
      <c r="K68" s="3">
        <v>12028</v>
      </c>
      <c r="L68" s="3">
        <v>0</v>
      </c>
      <c r="M68" s="3">
        <v>0</v>
      </c>
      <c r="N68" s="3">
        <v>0</v>
      </c>
      <c r="O68" s="3">
        <v>12028</v>
      </c>
    </row>
    <row r="69" spans="1:15" s="4" customFormat="1" x14ac:dyDescent="0.25">
      <c r="A69" s="4" t="s">
        <v>24</v>
      </c>
      <c r="B69" s="4" t="s">
        <v>238</v>
      </c>
      <c r="C69" s="4" t="s">
        <v>24</v>
      </c>
      <c r="D69" s="4" t="s">
        <v>101</v>
      </c>
      <c r="E69" s="4" t="s">
        <v>239</v>
      </c>
      <c r="F69" s="4" t="s">
        <v>28</v>
      </c>
      <c r="G69" s="4" t="s">
        <v>240</v>
      </c>
      <c r="H69" s="4" t="s">
        <v>241</v>
      </c>
      <c r="I69" s="5">
        <v>1</v>
      </c>
      <c r="J69" s="5">
        <v>0</v>
      </c>
      <c r="K69" s="5">
        <v>2220</v>
      </c>
      <c r="L69" s="5">
        <v>0</v>
      </c>
      <c r="M69" s="5">
        <v>0</v>
      </c>
      <c r="N69" s="5">
        <v>0</v>
      </c>
      <c r="O69" s="5">
        <v>2220</v>
      </c>
    </row>
    <row r="70" spans="1:15" x14ac:dyDescent="0.25">
      <c r="A70" t="s">
        <v>24</v>
      </c>
      <c r="B70" t="s">
        <v>238</v>
      </c>
      <c r="C70" t="s">
        <v>24</v>
      </c>
      <c r="D70" t="s">
        <v>101</v>
      </c>
      <c r="E70" t="s">
        <v>239</v>
      </c>
      <c r="F70" t="s">
        <v>28</v>
      </c>
      <c r="G70" t="s">
        <v>240</v>
      </c>
      <c r="H70" t="s">
        <v>242</v>
      </c>
      <c r="I70" s="3">
        <v>1</v>
      </c>
      <c r="J70" s="3">
        <v>0</v>
      </c>
      <c r="K70" s="3">
        <v>2220</v>
      </c>
      <c r="L70" s="3">
        <v>0</v>
      </c>
      <c r="M70" s="3">
        <v>0</v>
      </c>
      <c r="N70" s="3">
        <v>0</v>
      </c>
      <c r="O70" s="3">
        <v>2220</v>
      </c>
    </row>
    <row r="71" spans="1:15" s="4" customFormat="1" x14ac:dyDescent="0.25">
      <c r="A71" s="4" t="s">
        <v>243</v>
      </c>
      <c r="B71" s="4" t="s">
        <v>244</v>
      </c>
      <c r="C71" s="4" t="s">
        <v>113</v>
      </c>
      <c r="D71" s="4" t="s">
        <v>114</v>
      </c>
      <c r="E71" s="4" t="s">
        <v>235</v>
      </c>
      <c r="F71" s="4" t="s">
        <v>39</v>
      </c>
      <c r="G71" s="4" t="s">
        <v>245</v>
      </c>
      <c r="H71" s="4" t="s">
        <v>246</v>
      </c>
      <c r="I71" s="5">
        <v>1</v>
      </c>
      <c r="J71" s="5">
        <v>1300</v>
      </c>
      <c r="K71" s="5">
        <v>1300</v>
      </c>
      <c r="L71" s="5">
        <v>0</v>
      </c>
      <c r="M71" s="5">
        <v>0</v>
      </c>
      <c r="N71" s="5">
        <v>0</v>
      </c>
      <c r="O71" s="5">
        <v>1300</v>
      </c>
    </row>
    <row r="72" spans="1:15" x14ac:dyDescent="0.25">
      <c r="A72" t="s">
        <v>24</v>
      </c>
      <c r="B72" t="s">
        <v>247</v>
      </c>
      <c r="C72" t="s">
        <v>24</v>
      </c>
      <c r="D72" t="s">
        <v>24</v>
      </c>
      <c r="E72" t="s">
        <v>248</v>
      </c>
      <c r="F72" t="s">
        <v>28</v>
      </c>
      <c r="G72" t="s">
        <v>184</v>
      </c>
      <c r="H72" t="s">
        <v>249</v>
      </c>
      <c r="I72" s="3">
        <v>1</v>
      </c>
      <c r="J72" s="3">
        <v>0</v>
      </c>
      <c r="K72" s="3">
        <v>450</v>
      </c>
      <c r="L72" s="3">
        <v>0</v>
      </c>
      <c r="M72" s="3">
        <v>0</v>
      </c>
      <c r="N72" s="3">
        <v>0</v>
      </c>
      <c r="O72" s="3">
        <v>450</v>
      </c>
    </row>
    <row r="73" spans="1:15" s="4" customFormat="1" x14ac:dyDescent="0.25">
      <c r="A73" s="4" t="s">
        <v>24</v>
      </c>
      <c r="B73" s="4" t="s">
        <v>247</v>
      </c>
      <c r="C73" s="4" t="s">
        <v>24</v>
      </c>
      <c r="D73" s="4" t="s">
        <v>24</v>
      </c>
      <c r="E73" s="4" t="s">
        <v>250</v>
      </c>
      <c r="F73" s="4" t="s">
        <v>28</v>
      </c>
      <c r="G73" s="4" t="s">
        <v>184</v>
      </c>
      <c r="H73" s="4" t="s">
        <v>251</v>
      </c>
      <c r="I73" s="5">
        <v>1</v>
      </c>
      <c r="J73" s="5">
        <v>0</v>
      </c>
      <c r="K73" s="5">
        <v>2220</v>
      </c>
      <c r="L73" s="5">
        <v>0</v>
      </c>
      <c r="M73" s="5">
        <v>0</v>
      </c>
      <c r="N73" s="5">
        <v>0</v>
      </c>
      <c r="O73" s="5">
        <v>2220</v>
      </c>
    </row>
    <row r="74" spans="1:15" x14ac:dyDescent="0.25">
      <c r="A74" t="s">
        <v>252</v>
      </c>
      <c r="B74" t="s">
        <v>253</v>
      </c>
      <c r="C74" t="s">
        <v>54</v>
      </c>
      <c r="D74" t="s">
        <v>55</v>
      </c>
      <c r="E74" t="s">
        <v>254</v>
      </c>
      <c r="F74" t="s">
        <v>21</v>
      </c>
      <c r="G74" t="s">
        <v>255</v>
      </c>
      <c r="H74" t="s">
        <v>255</v>
      </c>
      <c r="I74" s="3">
        <v>1</v>
      </c>
      <c r="J74" s="3">
        <v>13721</v>
      </c>
      <c r="K74" s="3">
        <v>13721</v>
      </c>
      <c r="L74" s="3">
        <v>0</v>
      </c>
      <c r="M74" s="3">
        <v>0</v>
      </c>
      <c r="N74" s="3">
        <v>0</v>
      </c>
      <c r="O74" s="3">
        <v>13721</v>
      </c>
    </row>
    <row r="75" spans="1:15" s="4" customFormat="1" x14ac:dyDescent="0.25">
      <c r="A75" s="4" t="s">
        <v>24</v>
      </c>
      <c r="B75" s="4" t="s">
        <v>256</v>
      </c>
      <c r="C75" s="4" t="s">
        <v>24</v>
      </c>
      <c r="D75" s="4" t="s">
        <v>24</v>
      </c>
      <c r="E75" s="4" t="s">
        <v>257</v>
      </c>
      <c r="F75" s="4" t="s">
        <v>28</v>
      </c>
      <c r="G75" s="4" t="s">
        <v>258</v>
      </c>
      <c r="H75" s="4" t="s">
        <v>203</v>
      </c>
      <c r="I75" s="5">
        <v>1</v>
      </c>
      <c r="J75" s="5">
        <v>0</v>
      </c>
      <c r="K75" s="5">
        <v>4000</v>
      </c>
      <c r="L75" s="5">
        <v>0</v>
      </c>
      <c r="M75" s="5">
        <v>0</v>
      </c>
      <c r="N75" s="5">
        <v>0</v>
      </c>
      <c r="O75" s="5">
        <v>4000</v>
      </c>
    </row>
    <row r="76" spans="1:15" x14ac:dyDescent="0.25">
      <c r="A76" t="s">
        <v>259</v>
      </c>
      <c r="B76" t="s">
        <v>260</v>
      </c>
      <c r="C76" t="s">
        <v>54</v>
      </c>
      <c r="D76" t="s">
        <v>55</v>
      </c>
      <c r="E76" t="s">
        <v>261</v>
      </c>
      <c r="F76" t="s">
        <v>21</v>
      </c>
      <c r="G76" t="s">
        <v>262</v>
      </c>
      <c r="H76" t="s">
        <v>262</v>
      </c>
      <c r="I76" s="3">
        <v>1</v>
      </c>
      <c r="J76" s="3">
        <v>11379</v>
      </c>
      <c r="K76" s="3">
        <v>11379</v>
      </c>
      <c r="L76" s="3">
        <v>0</v>
      </c>
      <c r="M76" s="3">
        <v>0</v>
      </c>
      <c r="N76" s="3">
        <v>0</v>
      </c>
      <c r="O76" s="3">
        <v>11379</v>
      </c>
    </row>
    <row r="77" spans="1:15" s="4" customFormat="1" x14ac:dyDescent="0.25">
      <c r="A77" s="4" t="s">
        <v>263</v>
      </c>
      <c r="B77" s="4" t="s">
        <v>264</v>
      </c>
      <c r="C77" s="4" t="s">
        <v>36</v>
      </c>
      <c r="D77" s="4" t="s">
        <v>169</v>
      </c>
      <c r="E77" s="4" t="s">
        <v>261</v>
      </c>
      <c r="F77" s="4" t="s">
        <v>39</v>
      </c>
      <c r="G77" s="4" t="s">
        <v>265</v>
      </c>
      <c r="H77" s="4" t="s">
        <v>266</v>
      </c>
      <c r="I77" s="5">
        <v>6</v>
      </c>
      <c r="J77" s="5">
        <v>4300</v>
      </c>
      <c r="K77" s="5">
        <v>26300</v>
      </c>
      <c r="L77" s="5">
        <v>0</v>
      </c>
      <c r="M77" s="5">
        <v>0</v>
      </c>
      <c r="N77" s="5">
        <v>0</v>
      </c>
      <c r="O77" s="5">
        <v>26800</v>
      </c>
    </row>
    <row r="78" spans="1:15" x14ac:dyDescent="0.25">
      <c r="A78" t="s">
        <v>267</v>
      </c>
      <c r="B78" t="s">
        <v>268</v>
      </c>
      <c r="C78" t="s">
        <v>269</v>
      </c>
      <c r="D78" t="s">
        <v>270</v>
      </c>
      <c r="E78" t="s">
        <v>271</v>
      </c>
      <c r="F78" t="s">
        <v>21</v>
      </c>
      <c r="G78" t="s">
        <v>272</v>
      </c>
      <c r="H78" t="s">
        <v>272</v>
      </c>
      <c r="I78" s="3">
        <v>1</v>
      </c>
      <c r="J78" s="3">
        <v>30600</v>
      </c>
      <c r="K78" s="3">
        <v>30600</v>
      </c>
      <c r="L78" s="3">
        <v>0</v>
      </c>
      <c r="M78" s="3">
        <v>0</v>
      </c>
      <c r="N78" s="3">
        <v>0</v>
      </c>
      <c r="O78" s="3">
        <v>30600</v>
      </c>
    </row>
    <row r="79" spans="1:15" s="4" customFormat="1" x14ac:dyDescent="0.25">
      <c r="A79" s="4" t="s">
        <v>273</v>
      </c>
      <c r="B79" s="4" t="s">
        <v>274</v>
      </c>
      <c r="C79" s="4" t="s">
        <v>54</v>
      </c>
      <c r="D79" s="4" t="s">
        <v>55</v>
      </c>
      <c r="E79" s="4" t="s">
        <v>275</v>
      </c>
      <c r="F79" s="4" t="s">
        <v>21</v>
      </c>
      <c r="G79" s="4" t="s">
        <v>276</v>
      </c>
      <c r="H79" s="4" t="s">
        <v>276</v>
      </c>
      <c r="I79" s="5">
        <v>1</v>
      </c>
      <c r="J79" s="5">
        <v>10952</v>
      </c>
      <c r="K79" s="5">
        <v>10952</v>
      </c>
      <c r="L79" s="5">
        <v>0</v>
      </c>
      <c r="M79" s="5">
        <v>0</v>
      </c>
      <c r="N79" s="5">
        <v>0</v>
      </c>
      <c r="O79" s="5">
        <v>10952</v>
      </c>
    </row>
    <row r="80" spans="1:15" x14ac:dyDescent="0.25">
      <c r="A80" t="s">
        <v>277</v>
      </c>
      <c r="B80" t="s">
        <v>278</v>
      </c>
      <c r="C80" t="s">
        <v>159</v>
      </c>
      <c r="D80" t="s">
        <v>279</v>
      </c>
      <c r="E80" t="s">
        <v>275</v>
      </c>
      <c r="F80" t="s">
        <v>39</v>
      </c>
      <c r="G80" t="s">
        <v>280</v>
      </c>
      <c r="H80" t="s">
        <v>281</v>
      </c>
      <c r="I80" s="3">
        <v>3</v>
      </c>
      <c r="J80" s="3">
        <v>7350</v>
      </c>
      <c r="K80" s="3">
        <v>22050</v>
      </c>
      <c r="L80" s="3">
        <v>0</v>
      </c>
      <c r="M80" s="3">
        <v>0</v>
      </c>
      <c r="N80" s="3">
        <v>0</v>
      </c>
      <c r="O80" s="3">
        <v>22050</v>
      </c>
    </row>
    <row r="81" spans="1:15" s="4" customFormat="1" x14ac:dyDescent="0.25">
      <c r="A81" s="4" t="s">
        <v>277</v>
      </c>
      <c r="B81" s="4" t="s">
        <v>278</v>
      </c>
      <c r="C81" s="4" t="s">
        <v>159</v>
      </c>
      <c r="D81" s="4" t="s">
        <v>114</v>
      </c>
      <c r="E81" s="4" t="s">
        <v>275</v>
      </c>
      <c r="F81" s="4" t="s">
        <v>39</v>
      </c>
      <c r="G81" s="4" t="s">
        <v>280</v>
      </c>
      <c r="H81" s="4" t="s">
        <v>282</v>
      </c>
      <c r="I81" s="5">
        <v>1</v>
      </c>
      <c r="J81" s="5">
        <v>850</v>
      </c>
      <c r="K81" s="5">
        <v>850</v>
      </c>
      <c r="L81" s="5">
        <v>0</v>
      </c>
      <c r="M81" s="5">
        <v>0</v>
      </c>
      <c r="N81" s="5">
        <v>0</v>
      </c>
      <c r="O81" s="5">
        <v>850</v>
      </c>
    </row>
    <row r="82" spans="1:15" x14ac:dyDescent="0.25">
      <c r="A82" t="s">
        <v>24</v>
      </c>
      <c r="B82" t="s">
        <v>283</v>
      </c>
      <c r="C82" t="s">
        <v>100</v>
      </c>
      <c r="D82" t="s">
        <v>119</v>
      </c>
      <c r="E82" t="s">
        <v>284</v>
      </c>
      <c r="F82" t="s">
        <v>28</v>
      </c>
      <c r="G82" t="s">
        <v>285</v>
      </c>
      <c r="H82" t="s">
        <v>286</v>
      </c>
      <c r="I82" s="3">
        <v>1</v>
      </c>
      <c r="J82" s="3">
        <v>0</v>
      </c>
      <c r="K82" s="3">
        <v>28000</v>
      </c>
      <c r="L82" s="3">
        <v>0</v>
      </c>
      <c r="M82" s="3">
        <v>0</v>
      </c>
      <c r="N82" s="3">
        <v>0</v>
      </c>
      <c r="O82" s="3">
        <v>28000</v>
      </c>
    </row>
    <row r="83" spans="1:15" s="4" customFormat="1" x14ac:dyDescent="0.25">
      <c r="A83" s="4" t="s">
        <v>287</v>
      </c>
      <c r="B83" s="4" t="s">
        <v>288</v>
      </c>
      <c r="C83" s="4" t="s">
        <v>113</v>
      </c>
      <c r="D83" s="4" t="s">
        <v>114</v>
      </c>
      <c r="E83" s="4" t="s">
        <v>289</v>
      </c>
      <c r="F83" s="4" t="s">
        <v>39</v>
      </c>
      <c r="G83" s="4" t="s">
        <v>290</v>
      </c>
      <c r="H83" s="4" t="s">
        <v>291</v>
      </c>
      <c r="I83" s="5">
        <v>1</v>
      </c>
      <c r="J83" s="5">
        <v>70000</v>
      </c>
      <c r="K83" s="5">
        <v>70000</v>
      </c>
      <c r="L83" s="5">
        <v>0</v>
      </c>
      <c r="M83" s="5">
        <v>0</v>
      </c>
      <c r="N83" s="5">
        <v>0</v>
      </c>
      <c r="O83" s="5">
        <v>70000</v>
      </c>
    </row>
    <row r="84" spans="1:15" x14ac:dyDescent="0.25">
      <c r="A84" t="s">
        <v>292</v>
      </c>
      <c r="B84" t="s">
        <v>293</v>
      </c>
      <c r="C84" t="s">
        <v>294</v>
      </c>
      <c r="D84" t="s">
        <v>295</v>
      </c>
      <c r="E84" t="s">
        <v>289</v>
      </c>
      <c r="F84" t="s">
        <v>21</v>
      </c>
      <c r="G84" t="s">
        <v>296</v>
      </c>
      <c r="H84" t="s">
        <v>296</v>
      </c>
      <c r="I84" s="3">
        <v>1</v>
      </c>
      <c r="J84" s="3">
        <v>600000</v>
      </c>
      <c r="K84" s="3">
        <v>600000</v>
      </c>
      <c r="L84" s="3">
        <v>0</v>
      </c>
      <c r="M84" s="3">
        <v>0</v>
      </c>
      <c r="N84" s="3">
        <v>0</v>
      </c>
      <c r="O84" s="3">
        <v>600000</v>
      </c>
    </row>
    <row r="85" spans="1:15" s="4" customFormat="1" x14ac:dyDescent="0.25">
      <c r="A85" s="4" t="s">
        <v>24</v>
      </c>
      <c r="B85" s="4" t="s">
        <v>297</v>
      </c>
      <c r="C85" s="4" t="s">
        <v>100</v>
      </c>
      <c r="D85" s="4" t="s">
        <v>298</v>
      </c>
      <c r="E85" s="4" t="s">
        <v>93</v>
      </c>
      <c r="F85" s="4" t="s">
        <v>28</v>
      </c>
      <c r="G85" s="4" t="s">
        <v>299</v>
      </c>
      <c r="H85" s="4" t="s">
        <v>300</v>
      </c>
      <c r="I85" s="5">
        <v>1</v>
      </c>
      <c r="J85" s="5">
        <v>0</v>
      </c>
      <c r="K85" s="5">
        <v>37</v>
      </c>
      <c r="L85" s="5">
        <v>0</v>
      </c>
      <c r="M85" s="5">
        <v>0</v>
      </c>
      <c r="N85" s="5">
        <v>0</v>
      </c>
      <c r="O85" s="5">
        <v>37</v>
      </c>
    </row>
    <row r="86" spans="1:15" x14ac:dyDescent="0.25">
      <c r="A86" t="s">
        <v>24</v>
      </c>
      <c r="B86" t="s">
        <v>301</v>
      </c>
      <c r="C86" t="s">
        <v>24</v>
      </c>
      <c r="D86" t="s">
        <v>24</v>
      </c>
      <c r="E86" t="s">
        <v>275</v>
      </c>
      <c r="F86" t="s">
        <v>28</v>
      </c>
      <c r="G86" t="s">
        <v>302</v>
      </c>
      <c r="H86" t="s">
        <v>303</v>
      </c>
      <c r="I86" s="3">
        <v>1</v>
      </c>
      <c r="J86" s="3">
        <v>0</v>
      </c>
      <c r="K86" s="3">
        <v>2400</v>
      </c>
      <c r="L86" s="3">
        <v>0</v>
      </c>
      <c r="M86" s="3">
        <v>0</v>
      </c>
      <c r="N86" s="3">
        <v>0</v>
      </c>
      <c r="O86" s="3">
        <v>2400</v>
      </c>
    </row>
    <row r="87" spans="1:15" s="4" customFormat="1" x14ac:dyDescent="0.25">
      <c r="A87" s="4" t="s">
        <v>304</v>
      </c>
      <c r="B87" s="4" t="s">
        <v>305</v>
      </c>
      <c r="C87" s="4" t="s">
        <v>36</v>
      </c>
      <c r="D87" s="4" t="s">
        <v>169</v>
      </c>
      <c r="E87" s="4" t="s">
        <v>306</v>
      </c>
      <c r="F87" s="4" t="s">
        <v>39</v>
      </c>
      <c r="G87" s="4" t="s">
        <v>307</v>
      </c>
      <c r="H87" s="4" t="s">
        <v>308</v>
      </c>
      <c r="I87" s="5">
        <v>7</v>
      </c>
      <c r="J87" s="5">
        <v>4300</v>
      </c>
      <c r="K87" s="5">
        <v>30100</v>
      </c>
      <c r="L87" s="5">
        <v>0</v>
      </c>
      <c r="M87" s="5">
        <v>0</v>
      </c>
      <c r="N87" s="5">
        <v>0</v>
      </c>
      <c r="O87" s="5">
        <v>30100</v>
      </c>
    </row>
    <row r="88" spans="1:15" s="6" customFormat="1" x14ac:dyDescent="0.25">
      <c r="A88" s="6" t="s">
        <v>24</v>
      </c>
      <c r="B88" s="6" t="s">
        <v>24</v>
      </c>
      <c r="C88" s="6" t="s">
        <v>24</v>
      </c>
      <c r="D88" s="6" t="s">
        <v>24</v>
      </c>
      <c r="E88" s="6" t="s">
        <v>24</v>
      </c>
      <c r="F88" s="6" t="s">
        <v>24</v>
      </c>
      <c r="G88" s="6" t="s">
        <v>24</v>
      </c>
      <c r="H88" s="6" t="s">
        <v>309</v>
      </c>
      <c r="I88" s="6" t="s">
        <v>24</v>
      </c>
      <c r="J88" s="6" t="s">
        <v>24</v>
      </c>
      <c r="K88" s="6" t="s">
        <v>24</v>
      </c>
      <c r="L88" s="6" t="s">
        <v>24</v>
      </c>
      <c r="M88" s="6" t="s">
        <v>24</v>
      </c>
      <c r="N88" s="6" t="s">
        <v>24</v>
      </c>
      <c r="O88" s="7">
        <f>SUBTOTAL(109,O8:O87)</f>
      </c>
    </row>
    <row r="91" ht="30" customHeight="1" spans="1:15" x14ac:dyDescent="0.25">
      <c r="A91" s="8" t="s">
        <v>310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</row>
    <row r="92" spans="1:15" s="9" customFormat="1" x14ac:dyDescent="0.25">
      <c r="A92" s="9" t="s">
        <v>2</v>
      </c>
      <c r="B92" s="9" t="s">
        <v>6</v>
      </c>
      <c r="C92" s="9" t="s">
        <v>311</v>
      </c>
      <c r="D92" s="9" t="s">
        <v>312</v>
      </c>
      <c r="E92" s="9" t="s">
        <v>313</v>
      </c>
      <c r="F92" s="9" t="s">
        <v>5</v>
      </c>
      <c r="G92" s="9" t="s">
        <v>314</v>
      </c>
      <c r="H92" s="9" t="s">
        <v>315</v>
      </c>
      <c r="I92" s="9" t="s">
        <v>316</v>
      </c>
      <c r="J92" s="9" t="s">
        <v>317</v>
      </c>
      <c r="K92" s="9" t="s">
        <v>318</v>
      </c>
      <c r="L92" s="9" t="s">
        <v>319</v>
      </c>
      <c r="M92" s="9" t="s">
        <v>320</v>
      </c>
      <c r="N92" s="9" t="s">
        <v>24</v>
      </c>
      <c r="O92" s="9" t="s">
        <v>24</v>
      </c>
    </row>
    <row r="93" spans="1:15" x14ac:dyDescent="0.25">
      <c r="A93" t="s">
        <v>321</v>
      </c>
      <c r="B93" t="s">
        <v>322</v>
      </c>
      <c r="C93" t="s">
        <v>323</v>
      </c>
      <c r="D93" t="s">
        <v>324</v>
      </c>
      <c r="E93" t="s">
        <v>325</v>
      </c>
      <c r="F93" t="s">
        <v>275</v>
      </c>
      <c r="G93" s="3">
        <v>200000</v>
      </c>
      <c r="H93" s="10" t="s">
        <v>326</v>
      </c>
      <c r="I93" t="s">
        <v>327</v>
      </c>
      <c r="J93" t="s">
        <v>328</v>
      </c>
      <c r="K93" t="s">
        <v>275</v>
      </c>
      <c r="L93" t="s">
        <v>329</v>
      </c>
      <c r="M93" t="s">
        <v>330</v>
      </c>
      <c r="N93" t="s">
        <v>24</v>
      </c>
      <c r="O93" t="s">
        <v>24</v>
      </c>
    </row>
    <row r="94" spans="1:15" s="11" customFormat="1" x14ac:dyDescent="0.25">
      <c r="A94" s="11" t="s">
        <v>331</v>
      </c>
      <c r="B94" s="11" t="s">
        <v>332</v>
      </c>
      <c r="C94" s="11" t="s">
        <v>323</v>
      </c>
      <c r="D94" s="11" t="s">
        <v>228</v>
      </c>
      <c r="E94" s="11" t="s">
        <v>325</v>
      </c>
      <c r="F94" s="11" t="s">
        <v>271</v>
      </c>
      <c r="G94" s="12">
        <v>800</v>
      </c>
      <c r="H94" s="13" t="s">
        <v>333</v>
      </c>
      <c r="I94" s="11" t="s">
        <v>334</v>
      </c>
      <c r="J94" s="11" t="s">
        <v>24</v>
      </c>
      <c r="K94" s="11" t="s">
        <v>24</v>
      </c>
      <c r="L94" s="11" t="s">
        <v>335</v>
      </c>
      <c r="M94" s="11" t="s">
        <v>336</v>
      </c>
      <c r="N94" s="11" t="s">
        <v>24</v>
      </c>
      <c r="O94" s="11" t="s">
        <v>24</v>
      </c>
    </row>
    <row r="95" spans="1:15" x14ac:dyDescent="0.25">
      <c r="A95" t="s">
        <v>337</v>
      </c>
      <c r="B95" t="s">
        <v>332</v>
      </c>
      <c r="C95" t="s">
        <v>323</v>
      </c>
      <c r="D95" t="s">
        <v>228</v>
      </c>
      <c r="E95" t="s">
        <v>325</v>
      </c>
      <c r="F95" t="s">
        <v>261</v>
      </c>
      <c r="G95" s="3">
        <v>2400</v>
      </c>
      <c r="H95" s="10" t="s">
        <v>338</v>
      </c>
      <c r="I95" t="s">
        <v>334</v>
      </c>
      <c r="J95" t="s">
        <v>24</v>
      </c>
      <c r="K95" t="s">
        <v>24</v>
      </c>
      <c r="L95" t="s">
        <v>335</v>
      </c>
      <c r="M95" t="s">
        <v>339</v>
      </c>
      <c r="N95" t="s">
        <v>24</v>
      </c>
      <c r="O95" t="s">
        <v>24</v>
      </c>
    </row>
    <row r="96" spans="1:15" s="11" customFormat="1" x14ac:dyDescent="0.25">
      <c r="A96" s="11" t="s">
        <v>340</v>
      </c>
      <c r="B96" s="11" t="s">
        <v>332</v>
      </c>
      <c r="C96" s="11" t="s">
        <v>323</v>
      </c>
      <c r="D96" s="11" t="s">
        <v>228</v>
      </c>
      <c r="E96" s="11" t="s">
        <v>325</v>
      </c>
      <c r="F96" s="11" t="s">
        <v>341</v>
      </c>
      <c r="G96" s="12">
        <v>2400</v>
      </c>
      <c r="H96" s="13" t="s">
        <v>342</v>
      </c>
      <c r="I96" s="11" t="s">
        <v>334</v>
      </c>
      <c r="J96" s="11" t="s">
        <v>24</v>
      </c>
      <c r="K96" s="11" t="s">
        <v>24</v>
      </c>
      <c r="L96" s="11" t="s">
        <v>335</v>
      </c>
      <c r="M96" s="11" t="s">
        <v>343</v>
      </c>
      <c r="N96" s="11" t="s">
        <v>24</v>
      </c>
      <c r="O96" s="11" t="s">
        <v>24</v>
      </c>
    </row>
    <row r="97" spans="1:15" x14ac:dyDescent="0.25">
      <c r="A97" t="s">
        <v>344</v>
      </c>
      <c r="B97" t="s">
        <v>332</v>
      </c>
      <c r="C97" t="s">
        <v>323</v>
      </c>
      <c r="D97" t="s">
        <v>228</v>
      </c>
      <c r="E97" t="s">
        <v>325</v>
      </c>
      <c r="F97" t="s">
        <v>257</v>
      </c>
      <c r="G97" s="3">
        <v>2400</v>
      </c>
      <c r="H97" s="10" t="s">
        <v>345</v>
      </c>
      <c r="I97" t="s">
        <v>334</v>
      </c>
      <c r="J97" t="s">
        <v>24</v>
      </c>
      <c r="K97" t="s">
        <v>24</v>
      </c>
      <c r="L97" t="s">
        <v>335</v>
      </c>
      <c r="M97" t="s">
        <v>343</v>
      </c>
      <c r="N97" t="s">
        <v>24</v>
      </c>
      <c r="O97" t="s">
        <v>24</v>
      </c>
    </row>
    <row r="98" spans="1:15" s="11" customFormat="1" x14ac:dyDescent="0.25">
      <c r="A98" s="11" t="s">
        <v>346</v>
      </c>
      <c r="B98" s="11" t="s">
        <v>332</v>
      </c>
      <c r="C98" s="11" t="s">
        <v>323</v>
      </c>
      <c r="D98" s="11" t="s">
        <v>228</v>
      </c>
      <c r="E98" s="11" t="s">
        <v>325</v>
      </c>
      <c r="F98" s="11" t="s">
        <v>248</v>
      </c>
      <c r="G98" s="12">
        <v>2220</v>
      </c>
      <c r="H98" s="13" t="s">
        <v>347</v>
      </c>
      <c r="I98" s="11" t="s">
        <v>334</v>
      </c>
      <c r="J98" s="11" t="s">
        <v>24</v>
      </c>
      <c r="K98" s="11" t="s">
        <v>24</v>
      </c>
      <c r="L98" s="11" t="s">
        <v>348</v>
      </c>
      <c r="M98" s="11" t="s">
        <v>349</v>
      </c>
      <c r="N98" s="11" t="s">
        <v>24</v>
      </c>
      <c r="O98" s="11" t="s">
        <v>24</v>
      </c>
    </row>
    <row r="99" spans="1:15" x14ac:dyDescent="0.25">
      <c r="A99" t="s">
        <v>350</v>
      </c>
      <c r="B99" t="s">
        <v>332</v>
      </c>
      <c r="C99" t="s">
        <v>323</v>
      </c>
      <c r="D99" t="s">
        <v>228</v>
      </c>
      <c r="E99" t="s">
        <v>325</v>
      </c>
      <c r="F99" t="s">
        <v>351</v>
      </c>
      <c r="G99" s="3">
        <v>925</v>
      </c>
      <c r="H99" s="10" t="s">
        <v>352</v>
      </c>
      <c r="I99" t="s">
        <v>334</v>
      </c>
      <c r="J99" t="s">
        <v>24</v>
      </c>
      <c r="K99" t="s">
        <v>24</v>
      </c>
      <c r="L99" t="s">
        <v>348</v>
      </c>
      <c r="M99" t="s">
        <v>353</v>
      </c>
      <c r="N99" t="s">
        <v>24</v>
      </c>
      <c r="O99" t="s">
        <v>24</v>
      </c>
    </row>
    <row r="100" spans="1:15" s="11" customFormat="1" x14ac:dyDescent="0.25">
      <c r="A100" s="11" t="s">
        <v>354</v>
      </c>
      <c r="B100" s="11" t="s">
        <v>355</v>
      </c>
      <c r="C100" s="11" t="s">
        <v>323</v>
      </c>
      <c r="D100" s="11" t="s">
        <v>228</v>
      </c>
      <c r="E100" s="11" t="s">
        <v>325</v>
      </c>
      <c r="F100" s="11" t="s">
        <v>170</v>
      </c>
      <c r="G100" s="12">
        <v>2220</v>
      </c>
      <c r="H100" s="13" t="s">
        <v>356</v>
      </c>
      <c r="I100" s="11" t="s">
        <v>334</v>
      </c>
      <c r="J100" s="11" t="s">
        <v>24</v>
      </c>
      <c r="K100" s="11" t="s">
        <v>24</v>
      </c>
      <c r="L100" s="11" t="s">
        <v>357</v>
      </c>
      <c r="M100" s="11" t="s">
        <v>358</v>
      </c>
      <c r="N100" s="11" t="s">
        <v>24</v>
      </c>
      <c r="O100" s="11" t="s">
        <v>24</v>
      </c>
    </row>
    <row r="101" spans="1:15" x14ac:dyDescent="0.25">
      <c r="A101" t="s">
        <v>359</v>
      </c>
      <c r="B101" t="s">
        <v>360</v>
      </c>
      <c r="C101" t="s">
        <v>323</v>
      </c>
      <c r="D101" t="s">
        <v>361</v>
      </c>
      <c r="E101" t="s">
        <v>325</v>
      </c>
      <c r="F101" t="s">
        <v>155</v>
      </c>
      <c r="G101" s="3">
        <v>20020</v>
      </c>
      <c r="H101" s="10" t="s">
        <v>362</v>
      </c>
      <c r="I101" t="s">
        <v>363</v>
      </c>
      <c r="J101" t="s">
        <v>24</v>
      </c>
      <c r="K101" t="s">
        <v>24</v>
      </c>
      <c r="L101" t="s">
        <v>364</v>
      </c>
      <c r="M101" t="s">
        <v>365</v>
      </c>
      <c r="N101" t="s">
        <v>24</v>
      </c>
      <c r="O101" t="s">
        <v>24</v>
      </c>
    </row>
    <row r="102" spans="1:15" s="11" customFormat="1" x14ac:dyDescent="0.25">
      <c r="A102" s="11" t="s">
        <v>366</v>
      </c>
      <c r="B102" s="11" t="s">
        <v>332</v>
      </c>
      <c r="C102" s="11" t="s">
        <v>323</v>
      </c>
      <c r="D102" s="11" t="s">
        <v>228</v>
      </c>
      <c r="E102" s="11" t="s">
        <v>325</v>
      </c>
      <c r="F102" s="11" t="s">
        <v>147</v>
      </c>
      <c r="G102" s="12">
        <v>3220</v>
      </c>
      <c r="H102" s="13" t="s">
        <v>367</v>
      </c>
      <c r="I102" s="11" t="s">
        <v>334</v>
      </c>
      <c r="J102" s="11" t="s">
        <v>24</v>
      </c>
      <c r="K102" s="11" t="s">
        <v>24</v>
      </c>
      <c r="L102" s="11" t="s">
        <v>348</v>
      </c>
      <c r="M102" s="11" t="s">
        <v>368</v>
      </c>
      <c r="N102" s="11" t="s">
        <v>24</v>
      </c>
      <c r="O102" s="11" t="s">
        <v>24</v>
      </c>
    </row>
    <row r="103" spans="1:15" x14ac:dyDescent="0.25">
      <c r="A103" t="s">
        <v>369</v>
      </c>
      <c r="B103" t="s">
        <v>332</v>
      </c>
      <c r="C103" t="s">
        <v>323</v>
      </c>
      <c r="D103" t="s">
        <v>100</v>
      </c>
      <c r="E103" t="s">
        <v>325</v>
      </c>
      <c r="F103" t="s">
        <v>370</v>
      </c>
      <c r="G103" s="3">
        <v>1480</v>
      </c>
      <c r="H103" s="10" t="s">
        <v>371</v>
      </c>
      <c r="I103" t="s">
        <v>334</v>
      </c>
      <c r="J103" t="s">
        <v>24</v>
      </c>
      <c r="K103" t="s">
        <v>24</v>
      </c>
      <c r="L103" t="s">
        <v>357</v>
      </c>
      <c r="M103" t="s">
        <v>372</v>
      </c>
      <c r="N103" t="s">
        <v>24</v>
      </c>
      <c r="O103" t="s">
        <v>24</v>
      </c>
    </row>
    <row r="104" spans="1:15" s="11" customFormat="1" x14ac:dyDescent="0.25">
      <c r="A104" s="11" t="s">
        <v>373</v>
      </c>
      <c r="B104" s="11" t="s">
        <v>332</v>
      </c>
      <c r="C104" s="11" t="s">
        <v>323</v>
      </c>
      <c r="D104" s="11" t="s">
        <v>100</v>
      </c>
      <c r="E104" s="11" t="s">
        <v>325</v>
      </c>
      <c r="F104" s="11" t="s">
        <v>202</v>
      </c>
      <c r="G104" s="12">
        <v>4560</v>
      </c>
      <c r="H104" s="13" t="s">
        <v>374</v>
      </c>
      <c r="I104" s="11" t="s">
        <v>334</v>
      </c>
      <c r="J104" s="11" t="s">
        <v>24</v>
      </c>
      <c r="K104" s="11" t="s">
        <v>24</v>
      </c>
      <c r="L104" s="11" t="s">
        <v>348</v>
      </c>
      <c r="M104" s="11" t="s">
        <v>375</v>
      </c>
      <c r="N104" s="11" t="s">
        <v>24</v>
      </c>
      <c r="O104" s="11" t="s">
        <v>24</v>
      </c>
    </row>
    <row r="105" spans="1:15" x14ac:dyDescent="0.25">
      <c r="A105" t="s">
        <v>376</v>
      </c>
      <c r="B105" t="s">
        <v>377</v>
      </c>
      <c r="C105" t="s">
        <v>323</v>
      </c>
      <c r="D105" t="s">
        <v>228</v>
      </c>
      <c r="E105" t="s">
        <v>325</v>
      </c>
      <c r="F105" t="s">
        <v>378</v>
      </c>
      <c r="G105" s="3">
        <v>2220</v>
      </c>
      <c r="H105" s="10" t="s">
        <v>379</v>
      </c>
      <c r="I105" t="s">
        <v>334</v>
      </c>
      <c r="J105" t="s">
        <v>24</v>
      </c>
      <c r="K105" t="s">
        <v>24</v>
      </c>
      <c r="L105" t="s">
        <v>348</v>
      </c>
      <c r="M105" t="s">
        <v>380</v>
      </c>
      <c r="N105" t="s">
        <v>24</v>
      </c>
      <c r="O105" t="s">
        <v>24</v>
      </c>
    </row>
    <row r="106" spans="1:15" s="11" customFormat="1" x14ac:dyDescent="0.25">
      <c r="A106" s="11" t="s">
        <v>381</v>
      </c>
      <c r="B106" s="11" t="s">
        <v>165</v>
      </c>
      <c r="C106" s="11" t="s">
        <v>323</v>
      </c>
      <c r="D106" s="11" t="s">
        <v>228</v>
      </c>
      <c r="E106" s="11" t="s">
        <v>325</v>
      </c>
      <c r="F106" s="11" t="s">
        <v>382</v>
      </c>
      <c r="G106" s="12">
        <v>5240</v>
      </c>
      <c r="H106" s="13" t="s">
        <v>383</v>
      </c>
      <c r="I106" s="11" t="s">
        <v>334</v>
      </c>
      <c r="J106" s="11" t="s">
        <v>24</v>
      </c>
      <c r="K106" s="11" t="s">
        <v>24</v>
      </c>
      <c r="L106" s="11" t="s">
        <v>357</v>
      </c>
      <c r="M106" s="11" t="s">
        <v>384</v>
      </c>
      <c r="N106" s="11" t="s">
        <v>24</v>
      </c>
      <c r="O106" s="11" t="s">
        <v>24</v>
      </c>
    </row>
    <row r="107" spans="1:15" x14ac:dyDescent="0.25">
      <c r="A107" t="s">
        <v>385</v>
      </c>
      <c r="B107" t="s">
        <v>165</v>
      </c>
      <c r="C107" t="s">
        <v>323</v>
      </c>
      <c r="D107" t="s">
        <v>228</v>
      </c>
      <c r="E107" t="s">
        <v>325</v>
      </c>
      <c r="F107" t="s">
        <v>382</v>
      </c>
      <c r="G107" s="3">
        <v>4000</v>
      </c>
      <c r="H107" s="10" t="s">
        <v>386</v>
      </c>
      <c r="I107" t="s">
        <v>334</v>
      </c>
      <c r="J107" t="s">
        <v>24</v>
      </c>
      <c r="K107" t="s">
        <v>24</v>
      </c>
      <c r="L107" t="s">
        <v>387</v>
      </c>
      <c r="M107" t="s">
        <v>388</v>
      </c>
      <c r="N107" t="s">
        <v>24</v>
      </c>
      <c r="O107" t="s">
        <v>24</v>
      </c>
    </row>
    <row r="108" spans="1:15" s="14" customFormat="1" x14ac:dyDescent="0.25">
      <c r="A108" s="14" t="s">
        <v>24</v>
      </c>
      <c r="B108" s="14" t="s">
        <v>24</v>
      </c>
      <c r="C108" s="14" t="s">
        <v>24</v>
      </c>
      <c r="D108" s="14" t="s">
        <v>24</v>
      </c>
      <c r="E108" s="14" t="s">
        <v>24</v>
      </c>
      <c r="F108" s="14" t="s">
        <v>389</v>
      </c>
      <c r="G108" s="15">
        <f>SUBTOTAL(109,G93:G107)</f>
      </c>
      <c r="H108" s="14" t="s">
        <v>24</v>
      </c>
      <c r="I108" s="14" t="s">
        <v>24</v>
      </c>
      <c r="J108" s="14" t="s">
        <v>24</v>
      </c>
      <c r="K108" s="14" t="s">
        <v>24</v>
      </c>
      <c r="L108" s="14" t="s">
        <v>24</v>
      </c>
      <c r="M108" s="14" t="s">
        <v>24</v>
      </c>
      <c r="N108" s="14" t="s">
        <v>24</v>
      </c>
      <c r="O108" s="14" t="s">
        <v>24</v>
      </c>
    </row>
    <row r="110" ht="30" customHeight="1" spans="1:15" s="16" customFormat="1" x14ac:dyDescent="0.25">
      <c r="A110" s="17" t="s">
        <v>24</v>
      </c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8">
        <f>O88+G108</f>
      </c>
    </row>
  </sheetData>
  <autoFilter ref="A7:O109"/>
  <mergeCells count="3">
    <mergeCell ref="A6:O6"/>
    <mergeCell ref="A91:O91"/>
    <mergeCell ref="A110:N110"/>
  </mergeCells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 rightToLeft="1"/>
  </sheetViews>
  <sheetFormatPr defaultRowHeight="15" outlineLevelRow="0" outlineLevelCol="0" x14ac:dyDescent="55"/>
  <cols>
    <col min="1" max="1" width="18" customWidth="1"/>
    <col min="2" max="2" width="20" customWidth="1"/>
    <col min="3" max="4" width="32" customWidth="1"/>
    <col min="5" max="5" width="18" customWidth="1"/>
    <col min="6" max="6" width="14" customWidth="1"/>
    <col min="7" max="8" width="18" customWidth="1"/>
    <col min="9" max="9" width="20" customWidth="1"/>
    <col min="10" max="11" width="16" customWidth="1"/>
    <col min="12" max="12" width="25" customWidth="1"/>
    <col min="13" max="13" width="45" customWidth="1"/>
  </cols>
  <sheetData>
    <row r="1" ht="70" customHeight="1" x14ac:dyDescent="0.25"/>
    <row r="6" ht="45" customHeight="1" spans="1:13" x14ac:dyDescent="0.25">
      <c r="A6" s="19" t="s">
        <v>390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</row>
    <row r="7" spans="1:13" s="20" customFormat="1" x14ac:dyDescent="0.25">
      <c r="A7" s="20" t="s">
        <v>2</v>
      </c>
      <c r="B7" s="20" t="s">
        <v>6</v>
      </c>
      <c r="C7" s="20" t="s">
        <v>311</v>
      </c>
      <c r="D7" s="20" t="s">
        <v>312</v>
      </c>
      <c r="E7" s="20" t="s">
        <v>313</v>
      </c>
      <c r="F7" s="20" t="s">
        <v>5</v>
      </c>
      <c r="G7" s="20" t="s">
        <v>314</v>
      </c>
      <c r="H7" s="20" t="s">
        <v>315</v>
      </c>
      <c r="I7" s="20" t="s">
        <v>316</v>
      </c>
      <c r="J7" s="20" t="s">
        <v>317</v>
      </c>
      <c r="K7" s="20" t="s">
        <v>318</v>
      </c>
      <c r="L7" s="20" t="s">
        <v>319</v>
      </c>
      <c r="M7" s="20" t="s">
        <v>320</v>
      </c>
    </row>
    <row r="8" spans="1:13" x14ac:dyDescent="0.25">
      <c r="A8" t="s">
        <v>391</v>
      </c>
      <c r="B8" t="s">
        <v>377</v>
      </c>
      <c r="C8" t="s">
        <v>323</v>
      </c>
      <c r="D8" t="s">
        <v>392</v>
      </c>
      <c r="E8" t="s">
        <v>325</v>
      </c>
      <c r="F8" t="s">
        <v>393</v>
      </c>
      <c r="G8" s="3">
        <v>213500</v>
      </c>
      <c r="H8" t="s">
        <v>394</v>
      </c>
      <c r="I8" t="s">
        <v>327</v>
      </c>
      <c r="J8" t="s">
        <v>24</v>
      </c>
      <c r="K8" t="s">
        <v>24</v>
      </c>
      <c r="L8" t="s">
        <v>395</v>
      </c>
      <c r="M8" t="s">
        <v>396</v>
      </c>
    </row>
    <row r="9" spans="1:13" s="21" customFormat="1" x14ac:dyDescent="0.25">
      <c r="A9" s="21" t="s">
        <v>397</v>
      </c>
      <c r="B9" s="21" t="s">
        <v>377</v>
      </c>
      <c r="C9" s="21" t="s">
        <v>323</v>
      </c>
      <c r="D9" s="21" t="s">
        <v>398</v>
      </c>
      <c r="E9" s="21" t="s">
        <v>325</v>
      </c>
      <c r="F9" s="21" t="s">
        <v>399</v>
      </c>
      <c r="G9" s="22">
        <v>14949</v>
      </c>
      <c r="H9" s="21" t="s">
        <v>400</v>
      </c>
      <c r="I9" s="21" t="s">
        <v>334</v>
      </c>
      <c r="J9" s="21" t="s">
        <v>24</v>
      </c>
      <c r="K9" s="21" t="s">
        <v>24</v>
      </c>
      <c r="L9" s="21" t="s">
        <v>401</v>
      </c>
      <c r="M9" s="21" t="s">
        <v>402</v>
      </c>
    </row>
    <row r="10" spans="1:13" x14ac:dyDescent="0.25">
      <c r="A10" t="s">
        <v>403</v>
      </c>
      <c r="B10" t="s">
        <v>377</v>
      </c>
      <c r="C10" t="s">
        <v>323</v>
      </c>
      <c r="D10" t="s">
        <v>404</v>
      </c>
      <c r="E10" t="s">
        <v>325</v>
      </c>
      <c r="F10" t="s">
        <v>275</v>
      </c>
      <c r="G10" s="3">
        <v>29900</v>
      </c>
      <c r="H10" t="s">
        <v>400</v>
      </c>
      <c r="I10" t="s">
        <v>334</v>
      </c>
      <c r="J10" t="s">
        <v>24</v>
      </c>
      <c r="K10" t="s">
        <v>24</v>
      </c>
      <c r="L10" t="s">
        <v>401</v>
      </c>
      <c r="M10" t="s">
        <v>405</v>
      </c>
    </row>
    <row r="11" spans="1:13" s="21" customFormat="1" x14ac:dyDescent="0.25">
      <c r="A11" s="21" t="s">
        <v>406</v>
      </c>
      <c r="B11" s="21" t="s">
        <v>377</v>
      </c>
      <c r="C11" s="21" t="s">
        <v>323</v>
      </c>
      <c r="D11" s="21" t="s">
        <v>407</v>
      </c>
      <c r="E11" s="21" t="s">
        <v>325</v>
      </c>
      <c r="F11" s="21" t="s">
        <v>275</v>
      </c>
      <c r="G11" s="22">
        <v>26200</v>
      </c>
      <c r="H11" s="21" t="s">
        <v>400</v>
      </c>
      <c r="I11" s="21" t="s">
        <v>334</v>
      </c>
      <c r="J11" s="21" t="s">
        <v>24</v>
      </c>
      <c r="K11" s="21" t="s">
        <v>24</v>
      </c>
      <c r="L11" s="21" t="s">
        <v>401</v>
      </c>
      <c r="M11" s="21" t="s">
        <v>408</v>
      </c>
    </row>
    <row r="12" spans="1:13" x14ac:dyDescent="0.25">
      <c r="A12" t="s">
        <v>409</v>
      </c>
      <c r="B12" t="s">
        <v>377</v>
      </c>
      <c r="C12" t="s">
        <v>323</v>
      </c>
      <c r="D12" t="s">
        <v>410</v>
      </c>
      <c r="E12" t="s">
        <v>325</v>
      </c>
      <c r="F12" t="s">
        <v>289</v>
      </c>
      <c r="G12" s="3">
        <v>28403</v>
      </c>
      <c r="H12" t="s">
        <v>411</v>
      </c>
      <c r="I12" t="s">
        <v>327</v>
      </c>
      <c r="J12" t="s">
        <v>412</v>
      </c>
      <c r="K12" t="s">
        <v>289</v>
      </c>
      <c r="L12" t="s">
        <v>395</v>
      </c>
      <c r="M12" t="s">
        <v>413</v>
      </c>
    </row>
    <row r="13" spans="1:13" s="23" customFormat="1" x14ac:dyDescent="0.25">
      <c r="A13" s="23" t="s">
        <v>24</v>
      </c>
      <c r="B13" s="23" t="s">
        <v>24</v>
      </c>
      <c r="C13" s="23" t="s">
        <v>24</v>
      </c>
      <c r="D13" s="23" t="s">
        <v>24</v>
      </c>
      <c r="E13" s="23" t="s">
        <v>24</v>
      </c>
      <c r="F13" s="23" t="s">
        <v>389</v>
      </c>
      <c r="G13" s="24">
        <f>SUBTOTAL(109,G8:G12)</f>
      </c>
      <c r="H13" s="23" t="s">
        <v>24</v>
      </c>
      <c r="I13" s="23" t="s">
        <v>24</v>
      </c>
      <c r="J13" s="23" t="s">
        <v>24</v>
      </c>
      <c r="K13" s="23" t="s">
        <v>24</v>
      </c>
      <c r="L13" s="23" t="s">
        <v>24</v>
      </c>
      <c r="M13" s="23" t="s">
        <v>24</v>
      </c>
    </row>
  </sheetData>
  <mergeCells count="1">
    <mergeCell ref="A6:M6"/>
  </mergeCells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1"/>
  <sheetViews>
    <sheetView workbookViewId="0" rightToLeft="1"/>
  </sheetViews>
  <sheetFormatPr defaultRowHeight="15" outlineLevelRow="0" outlineLevelCol="0" x14ac:dyDescent="55"/>
  <cols>
    <col min="1" max="1" width="16" customWidth="1"/>
    <col min="2" max="3" width="10" customWidth="1"/>
    <col min="4" max="5" width="14" customWidth="1"/>
    <col min="6" max="6" width="32" customWidth="1"/>
    <col min="7" max="7" width="20" customWidth="1"/>
    <col min="8" max="10" width="18" customWidth="1"/>
    <col min="11" max="11" width="16" customWidth="1"/>
    <col min="12" max="12" width="24" customWidth="1"/>
    <col min="13" max="13" width="25" customWidth="1"/>
    <col min="14" max="14" width="16" customWidth="1"/>
  </cols>
  <sheetData>
    <row r="1" ht="70" customHeight="1" x14ac:dyDescent="0.25"/>
    <row r="6" ht="45" customHeight="1" spans="1:14" x14ac:dyDescent="0.25">
      <c r="A6" s="1" t="s">
        <v>414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25" customFormat="1" x14ac:dyDescent="0.25">
      <c r="A7" s="25" t="s">
        <v>2</v>
      </c>
      <c r="B7" s="25" t="s">
        <v>415</v>
      </c>
      <c r="C7" s="25" t="s">
        <v>416</v>
      </c>
      <c r="D7" s="25" t="s">
        <v>417</v>
      </c>
      <c r="E7" s="25" t="s">
        <v>418</v>
      </c>
      <c r="F7" s="25" t="s">
        <v>419</v>
      </c>
      <c r="G7" s="25" t="s">
        <v>420</v>
      </c>
      <c r="H7" s="25" t="s">
        <v>421</v>
      </c>
      <c r="I7" s="25" t="s">
        <v>422</v>
      </c>
      <c r="J7" s="25" t="s">
        <v>423</v>
      </c>
      <c r="K7" s="25" t="s">
        <v>313</v>
      </c>
      <c r="L7" s="25" t="s">
        <v>424</v>
      </c>
      <c r="M7" s="25" t="s">
        <v>425</v>
      </c>
      <c r="N7" s="25" t="s">
        <v>426</v>
      </c>
    </row>
    <row r="8" spans="1:14" x14ac:dyDescent="0.25">
      <c r="A8" t="s">
        <v>427</v>
      </c>
      <c r="B8">
        <v>2026</v>
      </c>
      <c r="C8" t="s">
        <v>428</v>
      </c>
      <c r="D8" t="s">
        <v>429</v>
      </c>
      <c r="E8" t="s">
        <v>430</v>
      </c>
      <c r="F8" t="s">
        <v>431</v>
      </c>
      <c r="G8" t="s">
        <v>432</v>
      </c>
      <c r="H8" s="3">
        <v>206500</v>
      </c>
      <c r="I8" s="3">
        <v>206500</v>
      </c>
      <c r="J8" s="3">
        <v>0</v>
      </c>
      <c r="K8" t="s">
        <v>433</v>
      </c>
      <c r="L8" t="s">
        <v>433</v>
      </c>
      <c r="M8" t="s">
        <v>434</v>
      </c>
      <c r="N8" t="s">
        <v>435</v>
      </c>
    </row>
    <row r="9" spans="1:14" x14ac:dyDescent="0.25">
      <c r="A9" t="s">
        <v>436</v>
      </c>
      <c r="B9">
        <v>2025</v>
      </c>
      <c r="C9" t="s">
        <v>437</v>
      </c>
      <c r="D9" t="s">
        <v>429</v>
      </c>
      <c r="E9" t="s">
        <v>430</v>
      </c>
      <c r="F9" t="s">
        <v>431</v>
      </c>
      <c r="G9" t="s">
        <v>438</v>
      </c>
      <c r="H9" s="3">
        <v>2889000</v>
      </c>
      <c r="I9" s="3">
        <v>2889000</v>
      </c>
      <c r="J9" s="3">
        <v>0</v>
      </c>
      <c r="K9" t="s">
        <v>433</v>
      </c>
      <c r="L9" t="s">
        <v>433</v>
      </c>
      <c r="M9" t="s">
        <v>434</v>
      </c>
      <c r="N9" t="s">
        <v>439</v>
      </c>
    </row>
    <row r="10" spans="1:14" x14ac:dyDescent="0.25">
      <c r="A10" t="s">
        <v>440</v>
      </c>
      <c r="B10">
        <v>2026</v>
      </c>
      <c r="C10" t="s">
        <v>441</v>
      </c>
      <c r="D10" t="s">
        <v>429</v>
      </c>
      <c r="E10" t="s">
        <v>430</v>
      </c>
      <c r="F10" t="s">
        <v>431</v>
      </c>
      <c r="G10" t="s">
        <v>432</v>
      </c>
      <c r="H10" s="3">
        <v>206500</v>
      </c>
      <c r="I10" s="3">
        <v>206500</v>
      </c>
      <c r="J10" s="3">
        <v>0</v>
      </c>
      <c r="K10" t="s">
        <v>433</v>
      </c>
      <c r="L10" t="s">
        <v>433</v>
      </c>
      <c r="M10" t="s">
        <v>434</v>
      </c>
      <c r="N10" t="s">
        <v>442</v>
      </c>
    </row>
    <row r="11" spans="1:14" x14ac:dyDescent="0.25">
      <c r="A11" t="s">
        <v>443</v>
      </c>
      <c r="B11">
        <v>2026</v>
      </c>
      <c r="C11" t="s">
        <v>444</v>
      </c>
      <c r="D11" t="s">
        <v>429</v>
      </c>
      <c r="E11" t="s">
        <v>430</v>
      </c>
      <c r="F11" t="s">
        <v>431</v>
      </c>
      <c r="G11" t="s">
        <v>432</v>
      </c>
      <c r="H11" s="3">
        <v>206500</v>
      </c>
      <c r="I11" s="3">
        <v>0</v>
      </c>
      <c r="J11" s="3">
        <v>206500</v>
      </c>
      <c r="K11" t="s">
        <v>445</v>
      </c>
      <c r="L11" t="s">
        <v>445</v>
      </c>
      <c r="M11" t="s">
        <v>446</v>
      </c>
      <c r="N11" t="s">
        <v>447</v>
      </c>
    </row>
    <row r="12" spans="1:14" x14ac:dyDescent="0.25">
      <c r="A12" t="s">
        <v>448</v>
      </c>
      <c r="B12">
        <v>2026</v>
      </c>
      <c r="C12" t="s">
        <v>437</v>
      </c>
      <c r="D12" t="s">
        <v>429</v>
      </c>
      <c r="E12" t="s">
        <v>430</v>
      </c>
      <c r="F12" t="s">
        <v>431</v>
      </c>
      <c r="G12" t="s">
        <v>432</v>
      </c>
      <c r="H12" s="3">
        <v>206500</v>
      </c>
      <c r="I12" s="3">
        <v>0</v>
      </c>
      <c r="J12" s="3">
        <v>206500</v>
      </c>
      <c r="K12" t="s">
        <v>445</v>
      </c>
      <c r="L12" t="s">
        <v>445</v>
      </c>
      <c r="M12" t="s">
        <v>449</v>
      </c>
      <c r="N12" t="s">
        <v>450</v>
      </c>
    </row>
    <row r="13" spans="1:14" x14ac:dyDescent="0.25">
      <c r="A13" t="s">
        <v>451</v>
      </c>
      <c r="B13">
        <v>2027</v>
      </c>
      <c r="C13" t="s">
        <v>428</v>
      </c>
      <c r="D13" t="s">
        <v>429</v>
      </c>
      <c r="E13" t="s">
        <v>430</v>
      </c>
      <c r="F13" t="s">
        <v>431</v>
      </c>
      <c r="G13" t="s">
        <v>432</v>
      </c>
      <c r="H13" s="3">
        <v>206500</v>
      </c>
      <c r="I13" s="3">
        <v>0</v>
      </c>
      <c r="J13" s="3">
        <v>206500</v>
      </c>
      <c r="K13" t="s">
        <v>445</v>
      </c>
      <c r="L13" t="s">
        <v>445</v>
      </c>
      <c r="M13" t="s">
        <v>452</v>
      </c>
      <c r="N13" t="s">
        <v>453</v>
      </c>
    </row>
    <row r="14" spans="1:14" x14ac:dyDescent="0.25">
      <c r="A14" t="s">
        <v>454</v>
      </c>
      <c r="B14">
        <v>2027</v>
      </c>
      <c r="C14" t="s">
        <v>441</v>
      </c>
      <c r="D14" t="s">
        <v>429</v>
      </c>
      <c r="E14" t="s">
        <v>430</v>
      </c>
      <c r="F14" t="s">
        <v>431</v>
      </c>
      <c r="G14" t="s">
        <v>432</v>
      </c>
      <c r="H14" s="3">
        <v>206500</v>
      </c>
      <c r="I14" s="3">
        <v>0</v>
      </c>
      <c r="J14" s="3">
        <v>206500</v>
      </c>
      <c r="K14" t="s">
        <v>445</v>
      </c>
      <c r="L14" t="s">
        <v>445</v>
      </c>
      <c r="M14" t="s">
        <v>455</v>
      </c>
      <c r="N14" t="s">
        <v>456</v>
      </c>
    </row>
    <row r="15" spans="1:14" x14ac:dyDescent="0.25">
      <c r="A15" t="s">
        <v>457</v>
      </c>
      <c r="B15">
        <v>2026</v>
      </c>
      <c r="C15" t="s">
        <v>441</v>
      </c>
      <c r="D15" t="s">
        <v>429</v>
      </c>
      <c r="E15" t="s">
        <v>430</v>
      </c>
      <c r="F15" t="s">
        <v>431</v>
      </c>
      <c r="G15" t="s">
        <v>458</v>
      </c>
      <c r="H15" s="3">
        <v>239000</v>
      </c>
      <c r="I15" s="3">
        <v>0</v>
      </c>
      <c r="J15" s="3">
        <v>239000</v>
      </c>
      <c r="K15" t="s">
        <v>459</v>
      </c>
      <c r="L15" t="s">
        <v>460</v>
      </c>
      <c r="M15" t="s">
        <v>461</v>
      </c>
      <c r="N15" t="s">
        <v>170</v>
      </c>
    </row>
    <row r="16" spans="1:14" x14ac:dyDescent="0.25">
      <c r="A16" t="s">
        <v>462</v>
      </c>
      <c r="B16">
        <v>2025</v>
      </c>
      <c r="C16" t="s">
        <v>441</v>
      </c>
      <c r="D16" t="s">
        <v>429</v>
      </c>
      <c r="E16" t="s">
        <v>463</v>
      </c>
      <c r="F16" t="s">
        <v>464</v>
      </c>
      <c r="G16" t="s">
        <v>438</v>
      </c>
      <c r="H16" s="3">
        <v>1509000</v>
      </c>
      <c r="I16" s="3">
        <v>1509000</v>
      </c>
      <c r="J16" s="3">
        <v>0</v>
      </c>
      <c r="K16" t="s">
        <v>433</v>
      </c>
      <c r="L16" t="s">
        <v>433</v>
      </c>
      <c r="M16" t="s">
        <v>434</v>
      </c>
      <c r="N16" t="s">
        <v>465</v>
      </c>
    </row>
    <row r="17" spans="1:14" x14ac:dyDescent="0.25">
      <c r="A17" t="s">
        <v>466</v>
      </c>
      <c r="B17">
        <v>2025</v>
      </c>
      <c r="C17" t="s">
        <v>437</v>
      </c>
      <c r="D17" t="s">
        <v>429</v>
      </c>
      <c r="E17" t="s">
        <v>463</v>
      </c>
      <c r="F17" t="s">
        <v>464</v>
      </c>
      <c r="G17" t="s">
        <v>432</v>
      </c>
      <c r="H17" s="3">
        <v>1655500</v>
      </c>
      <c r="I17" s="3">
        <v>1655500</v>
      </c>
      <c r="J17" s="3">
        <v>0</v>
      </c>
      <c r="K17" t="s">
        <v>433</v>
      </c>
      <c r="L17" t="s">
        <v>433</v>
      </c>
      <c r="M17" t="s">
        <v>434</v>
      </c>
      <c r="N17" t="s">
        <v>467</v>
      </c>
    </row>
    <row r="18" spans="1:14" x14ac:dyDescent="0.25">
      <c r="A18" t="s">
        <v>468</v>
      </c>
      <c r="B18">
        <v>2026</v>
      </c>
      <c r="C18" t="s">
        <v>428</v>
      </c>
      <c r="D18" t="s">
        <v>429</v>
      </c>
      <c r="E18" t="s">
        <v>463</v>
      </c>
      <c r="F18" t="s">
        <v>464</v>
      </c>
      <c r="G18" t="s">
        <v>432</v>
      </c>
      <c r="H18" s="3">
        <v>1355500</v>
      </c>
      <c r="I18" s="3">
        <v>1355500</v>
      </c>
      <c r="J18" s="3">
        <v>0</v>
      </c>
      <c r="K18" t="s">
        <v>433</v>
      </c>
      <c r="L18" t="s">
        <v>433</v>
      </c>
      <c r="M18" t="s">
        <v>434</v>
      </c>
      <c r="N18" t="s">
        <v>205</v>
      </c>
    </row>
    <row r="19" spans="1:14" x14ac:dyDescent="0.25">
      <c r="A19" t="s">
        <v>469</v>
      </c>
      <c r="B19">
        <v>2027</v>
      </c>
      <c r="C19" t="s">
        <v>441</v>
      </c>
      <c r="D19" t="s">
        <v>429</v>
      </c>
      <c r="E19" t="s">
        <v>463</v>
      </c>
      <c r="F19" t="s">
        <v>464</v>
      </c>
      <c r="G19" t="s">
        <v>458</v>
      </c>
      <c r="H19" s="3">
        <v>277200</v>
      </c>
      <c r="I19" s="3">
        <v>0</v>
      </c>
      <c r="J19" s="3">
        <v>277200</v>
      </c>
      <c r="K19" t="s">
        <v>445</v>
      </c>
      <c r="L19" t="s">
        <v>445</v>
      </c>
      <c r="M19" t="s">
        <v>455</v>
      </c>
      <c r="N19" t="s">
        <v>470</v>
      </c>
    </row>
    <row r="20" spans="1:14" x14ac:dyDescent="0.25">
      <c r="A20" t="s">
        <v>471</v>
      </c>
      <c r="B20">
        <v>2025</v>
      </c>
      <c r="C20" t="s">
        <v>428</v>
      </c>
      <c r="D20" t="s">
        <v>472</v>
      </c>
      <c r="E20" t="s">
        <v>473</v>
      </c>
      <c r="F20" t="s">
        <v>474</v>
      </c>
      <c r="G20" t="s">
        <v>432</v>
      </c>
      <c r="H20" s="3">
        <v>425000</v>
      </c>
      <c r="I20" s="3">
        <v>425000</v>
      </c>
      <c r="J20" s="3">
        <v>0</v>
      </c>
      <c r="K20" t="s">
        <v>433</v>
      </c>
      <c r="L20" t="s">
        <v>433</v>
      </c>
      <c r="M20" t="s">
        <v>434</v>
      </c>
      <c r="N20" t="s">
        <v>475</v>
      </c>
    </row>
    <row r="21" spans="1:14" x14ac:dyDescent="0.25">
      <c r="A21" t="s">
        <v>476</v>
      </c>
      <c r="B21">
        <v>2025</v>
      </c>
      <c r="C21" t="s">
        <v>441</v>
      </c>
      <c r="D21" t="s">
        <v>472</v>
      </c>
      <c r="E21" t="s">
        <v>473</v>
      </c>
      <c r="F21" t="s">
        <v>474</v>
      </c>
      <c r="G21" t="s">
        <v>432</v>
      </c>
      <c r="H21" s="3">
        <v>425000</v>
      </c>
      <c r="I21" s="3">
        <v>425000</v>
      </c>
      <c r="J21" s="3">
        <v>0</v>
      </c>
      <c r="K21" t="s">
        <v>433</v>
      </c>
      <c r="L21" t="s">
        <v>433</v>
      </c>
      <c r="M21" t="s">
        <v>434</v>
      </c>
      <c r="N21" t="s">
        <v>477</v>
      </c>
    </row>
    <row r="22" spans="1:14" x14ac:dyDescent="0.25">
      <c r="A22" t="s">
        <v>478</v>
      </c>
      <c r="B22">
        <v>2025</v>
      </c>
      <c r="C22" t="s">
        <v>444</v>
      </c>
      <c r="D22" t="s">
        <v>472</v>
      </c>
      <c r="E22" t="s">
        <v>473</v>
      </c>
      <c r="F22" t="s">
        <v>474</v>
      </c>
      <c r="G22" t="s">
        <v>432</v>
      </c>
      <c r="H22" s="3">
        <v>1045000</v>
      </c>
      <c r="I22" s="3">
        <v>1045000</v>
      </c>
      <c r="J22" s="3">
        <v>0</v>
      </c>
      <c r="K22" t="s">
        <v>433</v>
      </c>
      <c r="L22" t="s">
        <v>433</v>
      </c>
      <c r="M22" t="s">
        <v>434</v>
      </c>
      <c r="N22" t="s">
        <v>479</v>
      </c>
    </row>
    <row r="23" spans="1:14" x14ac:dyDescent="0.25">
      <c r="A23" t="s">
        <v>480</v>
      </c>
      <c r="B23">
        <v>2025</v>
      </c>
      <c r="C23" t="s">
        <v>437</v>
      </c>
      <c r="D23" t="s">
        <v>472</v>
      </c>
      <c r="E23" t="s">
        <v>473</v>
      </c>
      <c r="F23" t="s">
        <v>474</v>
      </c>
      <c r="G23" t="s">
        <v>432</v>
      </c>
      <c r="H23" s="3">
        <v>260000</v>
      </c>
      <c r="I23" s="3">
        <v>260000</v>
      </c>
      <c r="J23" s="3">
        <v>0</v>
      </c>
      <c r="K23" t="s">
        <v>433</v>
      </c>
      <c r="L23" t="s">
        <v>433</v>
      </c>
      <c r="M23" t="s">
        <v>434</v>
      </c>
      <c r="N23" t="s">
        <v>481</v>
      </c>
    </row>
    <row r="24" spans="1:14" x14ac:dyDescent="0.25">
      <c r="A24" t="s">
        <v>482</v>
      </c>
      <c r="B24">
        <v>2026</v>
      </c>
      <c r="C24" t="s">
        <v>428</v>
      </c>
      <c r="D24" t="s">
        <v>472</v>
      </c>
      <c r="E24" t="s">
        <v>473</v>
      </c>
      <c r="F24" t="s">
        <v>474</v>
      </c>
      <c r="G24" t="s">
        <v>432</v>
      </c>
      <c r="H24" s="3">
        <v>260000</v>
      </c>
      <c r="I24" s="3">
        <v>260000</v>
      </c>
      <c r="J24" s="3">
        <v>0</v>
      </c>
      <c r="K24" t="s">
        <v>433</v>
      </c>
      <c r="L24" t="s">
        <v>433</v>
      </c>
      <c r="M24" t="s">
        <v>434</v>
      </c>
      <c r="N24" t="s">
        <v>483</v>
      </c>
    </row>
    <row r="25" spans="1:14" x14ac:dyDescent="0.25">
      <c r="A25" t="s">
        <v>484</v>
      </c>
      <c r="B25">
        <v>2024</v>
      </c>
      <c r="C25" t="s">
        <v>437</v>
      </c>
      <c r="D25" t="s">
        <v>472</v>
      </c>
      <c r="E25" t="s">
        <v>473</v>
      </c>
      <c r="F25" t="s">
        <v>474</v>
      </c>
      <c r="G25" t="s">
        <v>438</v>
      </c>
      <c r="H25" s="3">
        <v>2000000</v>
      </c>
      <c r="I25" s="3">
        <v>2000000</v>
      </c>
      <c r="J25" s="3">
        <v>0</v>
      </c>
      <c r="K25" t="s">
        <v>433</v>
      </c>
      <c r="L25" t="s">
        <v>433</v>
      </c>
      <c r="M25" t="s">
        <v>434</v>
      </c>
      <c r="N25" t="s">
        <v>485</v>
      </c>
    </row>
    <row r="26" spans="1:14" x14ac:dyDescent="0.25">
      <c r="A26" t="s">
        <v>486</v>
      </c>
      <c r="B26">
        <v>2026</v>
      </c>
      <c r="C26" t="s">
        <v>441</v>
      </c>
      <c r="D26" t="s">
        <v>472</v>
      </c>
      <c r="E26" t="s">
        <v>473</v>
      </c>
      <c r="F26" t="s">
        <v>474</v>
      </c>
      <c r="G26" t="s">
        <v>432</v>
      </c>
      <c r="H26" s="3">
        <v>260000</v>
      </c>
      <c r="I26" s="3">
        <v>260000</v>
      </c>
      <c r="J26" s="3">
        <v>0</v>
      </c>
      <c r="K26" t="s">
        <v>433</v>
      </c>
      <c r="L26" t="s">
        <v>433</v>
      </c>
      <c r="M26" t="s">
        <v>434</v>
      </c>
      <c r="N26" t="s">
        <v>487</v>
      </c>
    </row>
    <row r="27" spans="1:14" x14ac:dyDescent="0.25">
      <c r="A27" t="s">
        <v>488</v>
      </c>
      <c r="B27">
        <v>2026</v>
      </c>
      <c r="C27" t="s">
        <v>444</v>
      </c>
      <c r="D27" t="s">
        <v>472</v>
      </c>
      <c r="E27" t="s">
        <v>473</v>
      </c>
      <c r="F27" t="s">
        <v>474</v>
      </c>
      <c r="G27" t="s">
        <v>432</v>
      </c>
      <c r="H27" s="3">
        <v>260000</v>
      </c>
      <c r="I27" s="3">
        <v>0</v>
      </c>
      <c r="J27" s="3">
        <v>260000</v>
      </c>
      <c r="K27" t="s">
        <v>445</v>
      </c>
      <c r="L27" t="s">
        <v>445</v>
      </c>
      <c r="M27" t="s">
        <v>446</v>
      </c>
      <c r="N27" t="s">
        <v>489</v>
      </c>
    </row>
    <row r="28" spans="1:14" x14ac:dyDescent="0.25">
      <c r="A28" t="s">
        <v>490</v>
      </c>
      <c r="B28">
        <v>2026</v>
      </c>
      <c r="C28" t="s">
        <v>437</v>
      </c>
      <c r="D28" t="s">
        <v>472</v>
      </c>
      <c r="E28" t="s">
        <v>473</v>
      </c>
      <c r="F28" t="s">
        <v>474</v>
      </c>
      <c r="G28" t="s">
        <v>432</v>
      </c>
      <c r="H28" s="3">
        <v>260000</v>
      </c>
      <c r="I28" s="3">
        <v>0</v>
      </c>
      <c r="J28" s="3">
        <v>260000</v>
      </c>
      <c r="K28" t="s">
        <v>445</v>
      </c>
      <c r="L28" t="s">
        <v>445</v>
      </c>
      <c r="M28" t="s">
        <v>449</v>
      </c>
      <c r="N28" t="s">
        <v>491</v>
      </c>
    </row>
    <row r="29" spans="1:14" x14ac:dyDescent="0.25">
      <c r="A29" t="s">
        <v>492</v>
      </c>
      <c r="B29">
        <v>2027</v>
      </c>
      <c r="C29" t="s">
        <v>428</v>
      </c>
      <c r="D29" t="s">
        <v>472</v>
      </c>
      <c r="E29" t="s">
        <v>473</v>
      </c>
      <c r="F29" t="s">
        <v>474</v>
      </c>
      <c r="G29" t="s">
        <v>432</v>
      </c>
      <c r="H29" s="3">
        <v>260000</v>
      </c>
      <c r="I29" s="3">
        <v>0</v>
      </c>
      <c r="J29" s="3">
        <v>260000</v>
      </c>
      <c r="K29" t="s">
        <v>445</v>
      </c>
      <c r="L29" t="s">
        <v>445</v>
      </c>
      <c r="M29" t="s">
        <v>452</v>
      </c>
      <c r="N29" t="s">
        <v>493</v>
      </c>
    </row>
    <row r="30" spans="1:14" x14ac:dyDescent="0.25">
      <c r="A30" t="s">
        <v>494</v>
      </c>
      <c r="B30">
        <v>2027</v>
      </c>
      <c r="C30" t="s">
        <v>441</v>
      </c>
      <c r="D30" t="s">
        <v>472</v>
      </c>
      <c r="E30" t="s">
        <v>473</v>
      </c>
      <c r="F30" t="s">
        <v>474</v>
      </c>
      <c r="G30" t="s">
        <v>432</v>
      </c>
      <c r="H30" s="3">
        <v>260000</v>
      </c>
      <c r="I30" s="3">
        <v>0</v>
      </c>
      <c r="J30" s="3">
        <v>260000</v>
      </c>
      <c r="K30" t="s">
        <v>445</v>
      </c>
      <c r="L30" t="s">
        <v>445</v>
      </c>
      <c r="M30" t="s">
        <v>455</v>
      </c>
      <c r="N30" t="s">
        <v>495</v>
      </c>
    </row>
    <row r="31" spans="1:14" x14ac:dyDescent="0.25">
      <c r="A31" t="s">
        <v>496</v>
      </c>
      <c r="B31">
        <v>2027</v>
      </c>
      <c r="C31" t="s">
        <v>444</v>
      </c>
      <c r="D31" t="s">
        <v>472</v>
      </c>
      <c r="E31" t="s">
        <v>473</v>
      </c>
      <c r="F31" t="s">
        <v>474</v>
      </c>
      <c r="G31" t="s">
        <v>432</v>
      </c>
      <c r="H31" s="3">
        <v>260000</v>
      </c>
      <c r="I31" s="3">
        <v>0</v>
      </c>
      <c r="J31" s="3">
        <v>260000</v>
      </c>
      <c r="K31" t="s">
        <v>445</v>
      </c>
      <c r="L31" t="s">
        <v>445</v>
      </c>
      <c r="M31" t="s">
        <v>497</v>
      </c>
      <c r="N31" t="s">
        <v>498</v>
      </c>
    </row>
    <row r="32" spans="1:14" x14ac:dyDescent="0.25">
      <c r="A32" t="s">
        <v>499</v>
      </c>
      <c r="B32">
        <v>2027</v>
      </c>
      <c r="C32" t="s">
        <v>437</v>
      </c>
      <c r="D32" t="s">
        <v>472</v>
      </c>
      <c r="E32" t="s">
        <v>473</v>
      </c>
      <c r="F32" t="s">
        <v>474</v>
      </c>
      <c r="G32" t="s">
        <v>432</v>
      </c>
      <c r="H32" s="3">
        <v>237500</v>
      </c>
      <c r="I32" s="3">
        <v>0</v>
      </c>
      <c r="J32" s="3">
        <v>237500</v>
      </c>
      <c r="K32" t="s">
        <v>445</v>
      </c>
      <c r="L32" t="s">
        <v>445</v>
      </c>
      <c r="M32" t="s">
        <v>500</v>
      </c>
      <c r="N32" t="s">
        <v>501</v>
      </c>
    </row>
    <row r="33" spans="1:14" x14ac:dyDescent="0.25">
      <c r="A33" t="s">
        <v>502</v>
      </c>
      <c r="B33">
        <v>2025</v>
      </c>
      <c r="C33" t="s">
        <v>428</v>
      </c>
      <c r="D33" t="s">
        <v>472</v>
      </c>
      <c r="E33" t="s">
        <v>473</v>
      </c>
      <c r="F33" t="s">
        <v>474</v>
      </c>
      <c r="G33" t="s">
        <v>458</v>
      </c>
      <c r="H33" s="3">
        <v>360750</v>
      </c>
      <c r="I33" s="3">
        <v>360750</v>
      </c>
      <c r="J33" s="3">
        <v>0</v>
      </c>
      <c r="K33" t="s">
        <v>433</v>
      </c>
      <c r="L33" t="s">
        <v>433</v>
      </c>
      <c r="M33" t="s">
        <v>434</v>
      </c>
      <c r="N33" t="s">
        <v>503</v>
      </c>
    </row>
    <row r="34" spans="1:14" x14ac:dyDescent="0.25">
      <c r="A34" t="s">
        <v>504</v>
      </c>
      <c r="B34">
        <v>2024</v>
      </c>
      <c r="C34" t="s">
        <v>437</v>
      </c>
      <c r="D34" t="s">
        <v>429</v>
      </c>
      <c r="E34" t="s">
        <v>505</v>
      </c>
      <c r="F34" t="s">
        <v>506</v>
      </c>
      <c r="G34" t="s">
        <v>438</v>
      </c>
      <c r="H34" s="3">
        <v>1890000</v>
      </c>
      <c r="I34" s="3">
        <v>1890000</v>
      </c>
      <c r="J34" s="3">
        <v>0</v>
      </c>
      <c r="K34" t="s">
        <v>433</v>
      </c>
      <c r="L34" t="s">
        <v>433</v>
      </c>
      <c r="M34" t="s">
        <v>434</v>
      </c>
      <c r="N34" t="s">
        <v>507</v>
      </c>
    </row>
    <row r="35" spans="1:14" x14ac:dyDescent="0.25">
      <c r="A35" t="s">
        <v>508</v>
      </c>
      <c r="B35">
        <v>2025</v>
      </c>
      <c r="C35" t="s">
        <v>428</v>
      </c>
      <c r="D35" t="s">
        <v>429</v>
      </c>
      <c r="E35" t="s">
        <v>505</v>
      </c>
      <c r="F35" t="s">
        <v>506</v>
      </c>
      <c r="G35" t="s">
        <v>432</v>
      </c>
      <c r="H35" s="3">
        <v>225000</v>
      </c>
      <c r="I35" s="3">
        <v>225000</v>
      </c>
      <c r="J35" s="3">
        <v>0</v>
      </c>
      <c r="K35" t="s">
        <v>433</v>
      </c>
      <c r="L35" t="s">
        <v>433</v>
      </c>
      <c r="M35" t="s">
        <v>434</v>
      </c>
      <c r="N35" t="s">
        <v>509</v>
      </c>
    </row>
    <row r="36" spans="1:14" x14ac:dyDescent="0.25">
      <c r="A36" t="s">
        <v>510</v>
      </c>
      <c r="B36">
        <v>2025</v>
      </c>
      <c r="C36" t="s">
        <v>441</v>
      </c>
      <c r="D36" t="s">
        <v>429</v>
      </c>
      <c r="E36" t="s">
        <v>505</v>
      </c>
      <c r="F36" t="s">
        <v>506</v>
      </c>
      <c r="G36" t="s">
        <v>432</v>
      </c>
      <c r="H36" s="3">
        <v>225000</v>
      </c>
      <c r="I36" s="3">
        <v>225000</v>
      </c>
      <c r="J36" s="3">
        <v>0</v>
      </c>
      <c r="K36" t="s">
        <v>433</v>
      </c>
      <c r="L36" t="s">
        <v>433</v>
      </c>
      <c r="M36" t="s">
        <v>434</v>
      </c>
      <c r="N36" t="s">
        <v>511</v>
      </c>
    </row>
    <row r="37" spans="1:14" x14ac:dyDescent="0.25">
      <c r="A37" t="s">
        <v>512</v>
      </c>
      <c r="B37">
        <v>2025</v>
      </c>
      <c r="C37" t="s">
        <v>444</v>
      </c>
      <c r="D37" t="s">
        <v>429</v>
      </c>
      <c r="E37" t="s">
        <v>505</v>
      </c>
      <c r="F37" t="s">
        <v>506</v>
      </c>
      <c r="G37" t="s">
        <v>432</v>
      </c>
      <c r="H37" s="3">
        <v>475000</v>
      </c>
      <c r="I37" s="3">
        <v>475000</v>
      </c>
      <c r="J37" s="3">
        <v>0</v>
      </c>
      <c r="K37" t="s">
        <v>433</v>
      </c>
      <c r="L37" t="s">
        <v>433</v>
      </c>
      <c r="M37" t="s">
        <v>434</v>
      </c>
      <c r="N37" t="s">
        <v>513</v>
      </c>
    </row>
    <row r="38" spans="1:14" x14ac:dyDescent="0.25">
      <c r="A38" t="s">
        <v>514</v>
      </c>
      <c r="B38">
        <v>2025</v>
      </c>
      <c r="C38" t="s">
        <v>437</v>
      </c>
      <c r="D38" t="s">
        <v>429</v>
      </c>
      <c r="E38" t="s">
        <v>505</v>
      </c>
      <c r="F38" t="s">
        <v>506</v>
      </c>
      <c r="G38" t="s">
        <v>432</v>
      </c>
      <c r="H38" s="3">
        <v>500000</v>
      </c>
      <c r="I38" s="3">
        <v>500000</v>
      </c>
      <c r="J38" s="3">
        <v>0</v>
      </c>
      <c r="K38" t="s">
        <v>433</v>
      </c>
      <c r="L38" t="s">
        <v>433</v>
      </c>
      <c r="M38" t="s">
        <v>434</v>
      </c>
      <c r="N38" t="s">
        <v>515</v>
      </c>
    </row>
    <row r="39" spans="1:14" x14ac:dyDescent="0.25">
      <c r="A39" t="s">
        <v>516</v>
      </c>
      <c r="B39">
        <v>2026</v>
      </c>
      <c r="C39" t="s">
        <v>428</v>
      </c>
      <c r="D39" t="s">
        <v>429</v>
      </c>
      <c r="E39" t="s">
        <v>505</v>
      </c>
      <c r="F39" t="s">
        <v>506</v>
      </c>
      <c r="G39" t="s">
        <v>432</v>
      </c>
      <c r="H39" s="3">
        <v>250000</v>
      </c>
      <c r="I39" s="3">
        <v>0</v>
      </c>
      <c r="J39" s="3">
        <v>250000</v>
      </c>
      <c r="K39" t="s">
        <v>459</v>
      </c>
      <c r="L39" t="s">
        <v>517</v>
      </c>
      <c r="M39" t="s">
        <v>518</v>
      </c>
      <c r="N39" t="s">
        <v>519</v>
      </c>
    </row>
    <row r="40" spans="1:14" x14ac:dyDescent="0.25">
      <c r="A40" t="s">
        <v>520</v>
      </c>
      <c r="B40">
        <v>2026</v>
      </c>
      <c r="C40" t="s">
        <v>441</v>
      </c>
      <c r="D40" t="s">
        <v>429</v>
      </c>
      <c r="E40" t="s">
        <v>505</v>
      </c>
      <c r="F40" t="s">
        <v>506</v>
      </c>
      <c r="G40" t="s">
        <v>432</v>
      </c>
      <c r="H40" s="3">
        <v>250000</v>
      </c>
      <c r="I40" s="3">
        <v>0</v>
      </c>
      <c r="J40" s="3">
        <v>250000</v>
      </c>
      <c r="K40" t="s">
        <v>459</v>
      </c>
      <c r="L40" t="s">
        <v>460</v>
      </c>
      <c r="M40" t="s">
        <v>461</v>
      </c>
      <c r="N40" t="s">
        <v>521</v>
      </c>
    </row>
    <row r="41" spans="1:14" x14ac:dyDescent="0.25">
      <c r="A41" t="s">
        <v>522</v>
      </c>
      <c r="B41">
        <v>2026</v>
      </c>
      <c r="C41" t="s">
        <v>444</v>
      </c>
      <c r="D41" t="s">
        <v>429</v>
      </c>
      <c r="E41" t="s">
        <v>505</v>
      </c>
      <c r="F41" t="s">
        <v>506</v>
      </c>
      <c r="G41" t="s">
        <v>432</v>
      </c>
      <c r="H41" s="3">
        <v>250000</v>
      </c>
      <c r="I41" s="3">
        <v>0</v>
      </c>
      <c r="J41" s="3">
        <v>250000</v>
      </c>
      <c r="K41" t="s">
        <v>445</v>
      </c>
      <c r="L41" t="s">
        <v>445</v>
      </c>
      <c r="M41" t="s">
        <v>523</v>
      </c>
      <c r="N41" t="s">
        <v>524</v>
      </c>
    </row>
    <row r="42" spans="1:14" x14ac:dyDescent="0.25">
      <c r="A42" t="s">
        <v>525</v>
      </c>
      <c r="B42">
        <v>2026</v>
      </c>
      <c r="C42" t="s">
        <v>437</v>
      </c>
      <c r="D42" t="s">
        <v>429</v>
      </c>
      <c r="E42" t="s">
        <v>505</v>
      </c>
      <c r="F42" t="s">
        <v>506</v>
      </c>
      <c r="G42" t="s">
        <v>432</v>
      </c>
      <c r="H42" s="3">
        <v>250000</v>
      </c>
      <c r="I42" s="3">
        <v>0</v>
      </c>
      <c r="J42" s="3">
        <v>250000</v>
      </c>
      <c r="K42" t="s">
        <v>445</v>
      </c>
      <c r="L42" t="s">
        <v>445</v>
      </c>
      <c r="M42" t="s">
        <v>449</v>
      </c>
      <c r="N42" t="s">
        <v>526</v>
      </c>
    </row>
    <row r="43" spans="1:14" x14ac:dyDescent="0.25">
      <c r="A43" t="s">
        <v>527</v>
      </c>
      <c r="B43">
        <v>2027</v>
      </c>
      <c r="C43" t="s">
        <v>428</v>
      </c>
      <c r="D43" t="s">
        <v>429</v>
      </c>
      <c r="E43" t="s">
        <v>505</v>
      </c>
      <c r="F43" t="s">
        <v>506</v>
      </c>
      <c r="G43" t="s">
        <v>432</v>
      </c>
      <c r="H43" s="3">
        <v>250000</v>
      </c>
      <c r="I43" s="3">
        <v>0</v>
      </c>
      <c r="J43" s="3">
        <v>250000</v>
      </c>
      <c r="K43" t="s">
        <v>445</v>
      </c>
      <c r="L43" t="s">
        <v>445</v>
      </c>
      <c r="M43" t="s">
        <v>452</v>
      </c>
      <c r="N43" t="s">
        <v>528</v>
      </c>
    </row>
    <row r="44" spans="1:14" x14ac:dyDescent="0.25">
      <c r="A44" t="s">
        <v>529</v>
      </c>
      <c r="B44">
        <v>2027</v>
      </c>
      <c r="C44" t="s">
        <v>441</v>
      </c>
      <c r="D44" t="s">
        <v>429</v>
      </c>
      <c r="E44" t="s">
        <v>505</v>
      </c>
      <c r="F44" t="s">
        <v>506</v>
      </c>
      <c r="G44" t="s">
        <v>432</v>
      </c>
      <c r="H44" s="3">
        <v>250000</v>
      </c>
      <c r="I44" s="3">
        <v>0</v>
      </c>
      <c r="J44" s="3">
        <v>250000</v>
      </c>
      <c r="K44" t="s">
        <v>445</v>
      </c>
      <c r="L44" t="s">
        <v>445</v>
      </c>
      <c r="M44" t="s">
        <v>455</v>
      </c>
      <c r="N44" t="s">
        <v>530</v>
      </c>
    </row>
    <row r="45" spans="1:14" x14ac:dyDescent="0.25">
      <c r="A45" t="s">
        <v>531</v>
      </c>
      <c r="B45">
        <v>2027</v>
      </c>
      <c r="C45" t="s">
        <v>444</v>
      </c>
      <c r="D45" t="s">
        <v>429</v>
      </c>
      <c r="E45" t="s">
        <v>505</v>
      </c>
      <c r="F45" t="s">
        <v>506</v>
      </c>
      <c r="G45" t="s">
        <v>432</v>
      </c>
      <c r="H45" s="3">
        <v>275000</v>
      </c>
      <c r="I45" s="3">
        <v>0</v>
      </c>
      <c r="J45" s="3">
        <v>275000</v>
      </c>
      <c r="K45" t="s">
        <v>445</v>
      </c>
      <c r="L45" t="s">
        <v>445</v>
      </c>
      <c r="M45" t="s">
        <v>497</v>
      </c>
      <c r="N45" t="s">
        <v>532</v>
      </c>
    </row>
    <row r="46" spans="1:14" x14ac:dyDescent="0.25">
      <c r="A46" t="s">
        <v>533</v>
      </c>
      <c r="B46">
        <v>2025</v>
      </c>
      <c r="C46" t="s">
        <v>441</v>
      </c>
      <c r="D46" t="s">
        <v>429</v>
      </c>
      <c r="E46" t="s">
        <v>505</v>
      </c>
      <c r="F46" t="s">
        <v>506</v>
      </c>
      <c r="G46" t="s">
        <v>458</v>
      </c>
      <c r="H46" s="3">
        <v>300000</v>
      </c>
      <c r="I46" s="3">
        <v>300000</v>
      </c>
      <c r="J46" s="3">
        <v>0</v>
      </c>
      <c r="K46" t="s">
        <v>433</v>
      </c>
      <c r="L46" t="s">
        <v>433</v>
      </c>
      <c r="M46" t="s">
        <v>434</v>
      </c>
      <c r="N46" t="s">
        <v>534</v>
      </c>
    </row>
    <row r="47" spans="1:14" x14ac:dyDescent="0.25">
      <c r="A47" t="s">
        <v>535</v>
      </c>
      <c r="B47">
        <v>2025</v>
      </c>
      <c r="C47" t="s">
        <v>437</v>
      </c>
      <c r="D47" t="s">
        <v>472</v>
      </c>
      <c r="E47" t="s">
        <v>536</v>
      </c>
      <c r="F47" t="s">
        <v>537</v>
      </c>
      <c r="G47" t="s">
        <v>438</v>
      </c>
      <c r="H47" s="3">
        <v>4929500</v>
      </c>
      <c r="I47" s="3">
        <v>4929500</v>
      </c>
      <c r="J47" s="3">
        <v>0</v>
      </c>
      <c r="K47" t="s">
        <v>433</v>
      </c>
      <c r="L47" t="s">
        <v>433</v>
      </c>
      <c r="M47" t="s">
        <v>434</v>
      </c>
      <c r="N47" t="s">
        <v>538</v>
      </c>
    </row>
    <row r="48" spans="1:14" x14ac:dyDescent="0.25">
      <c r="A48" t="s">
        <v>539</v>
      </c>
      <c r="B48">
        <v>2026</v>
      </c>
      <c r="C48" t="s">
        <v>441</v>
      </c>
      <c r="D48" t="s">
        <v>472</v>
      </c>
      <c r="E48" t="s">
        <v>536</v>
      </c>
      <c r="F48" t="s">
        <v>537</v>
      </c>
      <c r="G48" t="s">
        <v>432</v>
      </c>
      <c r="H48" s="3">
        <v>85000</v>
      </c>
      <c r="I48" s="3">
        <v>85000</v>
      </c>
      <c r="J48" s="3">
        <v>0</v>
      </c>
      <c r="K48" t="s">
        <v>433</v>
      </c>
      <c r="L48" t="s">
        <v>433</v>
      </c>
      <c r="M48" t="s">
        <v>434</v>
      </c>
      <c r="N48" t="s">
        <v>540</v>
      </c>
    </row>
    <row r="49" spans="1:14" x14ac:dyDescent="0.25">
      <c r="A49" t="s">
        <v>541</v>
      </c>
      <c r="B49">
        <v>2025</v>
      </c>
      <c r="C49" t="s">
        <v>428</v>
      </c>
      <c r="D49" t="s">
        <v>472</v>
      </c>
      <c r="E49" t="s">
        <v>536</v>
      </c>
      <c r="F49" t="s">
        <v>537</v>
      </c>
      <c r="G49" t="s">
        <v>458</v>
      </c>
      <c r="H49" s="3">
        <v>320000</v>
      </c>
      <c r="I49" s="3">
        <v>320000</v>
      </c>
      <c r="J49" s="3">
        <v>0</v>
      </c>
      <c r="K49" t="s">
        <v>433</v>
      </c>
      <c r="L49" t="s">
        <v>433</v>
      </c>
      <c r="M49" t="s">
        <v>434</v>
      </c>
      <c r="N49" t="s">
        <v>542</v>
      </c>
    </row>
    <row r="50" spans="1:14" x14ac:dyDescent="0.25">
      <c r="A50" t="s">
        <v>543</v>
      </c>
      <c r="B50">
        <v>2025</v>
      </c>
      <c r="C50" t="s">
        <v>437</v>
      </c>
      <c r="D50" t="s">
        <v>429</v>
      </c>
      <c r="E50" t="s">
        <v>430</v>
      </c>
      <c r="F50" t="s">
        <v>431</v>
      </c>
      <c r="G50" t="s">
        <v>438</v>
      </c>
      <c r="H50" s="3">
        <v>500</v>
      </c>
      <c r="I50" s="3">
        <v>500</v>
      </c>
      <c r="J50" s="3">
        <v>0</v>
      </c>
      <c r="K50" t="s">
        <v>433</v>
      </c>
      <c r="L50" t="s">
        <v>433</v>
      </c>
      <c r="M50" t="s">
        <v>434</v>
      </c>
      <c r="N50" t="s">
        <v>439</v>
      </c>
    </row>
    <row r="51" spans="1:14" x14ac:dyDescent="0.25">
      <c r="A51" t="s">
        <v>544</v>
      </c>
      <c r="B51">
        <v>2025</v>
      </c>
      <c r="C51" t="s">
        <v>441</v>
      </c>
      <c r="D51" t="s">
        <v>472</v>
      </c>
      <c r="E51" t="s">
        <v>545</v>
      </c>
      <c r="F51" t="s">
        <v>546</v>
      </c>
      <c r="G51" t="s">
        <v>438</v>
      </c>
      <c r="H51" s="3">
        <v>3350000</v>
      </c>
      <c r="I51" s="3">
        <v>3350000</v>
      </c>
      <c r="J51" s="3">
        <v>0</v>
      </c>
      <c r="K51" t="s">
        <v>433</v>
      </c>
      <c r="L51" t="s">
        <v>433</v>
      </c>
      <c r="M51" t="s">
        <v>434</v>
      </c>
      <c r="N51" t="s">
        <v>547</v>
      </c>
    </row>
    <row r="52" spans="1:14" x14ac:dyDescent="0.25">
      <c r="A52" t="s">
        <v>548</v>
      </c>
      <c r="B52">
        <v>2025</v>
      </c>
      <c r="C52" t="s">
        <v>444</v>
      </c>
      <c r="D52" t="s">
        <v>472</v>
      </c>
      <c r="E52" t="s">
        <v>545</v>
      </c>
      <c r="F52" t="s">
        <v>546</v>
      </c>
      <c r="G52" t="s">
        <v>432</v>
      </c>
      <c r="H52" s="3">
        <v>500000</v>
      </c>
      <c r="I52" s="3">
        <v>500000</v>
      </c>
      <c r="J52" s="3">
        <v>0</v>
      </c>
      <c r="K52" t="s">
        <v>433</v>
      </c>
      <c r="L52" t="s">
        <v>433</v>
      </c>
      <c r="M52" t="s">
        <v>434</v>
      </c>
      <c r="N52" t="s">
        <v>549</v>
      </c>
    </row>
    <row r="53" spans="1:14" x14ac:dyDescent="0.25">
      <c r="A53" t="s">
        <v>550</v>
      </c>
      <c r="B53">
        <v>2025</v>
      </c>
      <c r="C53" t="s">
        <v>437</v>
      </c>
      <c r="D53" t="s">
        <v>472</v>
      </c>
      <c r="E53" t="s">
        <v>545</v>
      </c>
      <c r="F53" t="s">
        <v>546</v>
      </c>
      <c r="G53" t="s">
        <v>432</v>
      </c>
      <c r="H53" s="3">
        <v>500000</v>
      </c>
      <c r="I53" s="3">
        <v>500000</v>
      </c>
      <c r="J53" s="3">
        <v>0</v>
      </c>
      <c r="K53" t="s">
        <v>433</v>
      </c>
      <c r="L53" t="s">
        <v>433</v>
      </c>
      <c r="M53" t="s">
        <v>434</v>
      </c>
      <c r="N53" t="s">
        <v>551</v>
      </c>
    </row>
    <row r="54" spans="1:14" x14ac:dyDescent="0.25">
      <c r="A54" t="s">
        <v>552</v>
      </c>
      <c r="B54">
        <v>2025</v>
      </c>
      <c r="C54" t="s">
        <v>441</v>
      </c>
      <c r="D54" t="s">
        <v>472</v>
      </c>
      <c r="E54" t="s">
        <v>545</v>
      </c>
      <c r="F54" t="s">
        <v>546</v>
      </c>
      <c r="G54" t="s">
        <v>458</v>
      </c>
      <c r="H54" s="3">
        <v>267000</v>
      </c>
      <c r="I54" s="3">
        <v>267000</v>
      </c>
      <c r="J54" s="3">
        <v>0</v>
      </c>
      <c r="K54" t="s">
        <v>433</v>
      </c>
      <c r="L54" t="s">
        <v>433</v>
      </c>
      <c r="M54" t="s">
        <v>434</v>
      </c>
      <c r="N54" t="s">
        <v>553</v>
      </c>
    </row>
    <row r="55" spans="1:14" x14ac:dyDescent="0.25">
      <c r="A55" t="s">
        <v>554</v>
      </c>
      <c r="B55">
        <v>2025</v>
      </c>
      <c r="C55" t="s">
        <v>428</v>
      </c>
      <c r="D55" t="s">
        <v>429</v>
      </c>
      <c r="E55" t="s">
        <v>555</v>
      </c>
      <c r="F55" t="s">
        <v>556</v>
      </c>
      <c r="G55" t="s">
        <v>438</v>
      </c>
      <c r="H55" s="3">
        <v>4495300</v>
      </c>
      <c r="I55" s="3">
        <v>4495300</v>
      </c>
      <c r="J55" s="3">
        <v>0</v>
      </c>
      <c r="K55" t="s">
        <v>433</v>
      </c>
      <c r="L55" t="s">
        <v>433</v>
      </c>
      <c r="M55" t="s">
        <v>434</v>
      </c>
      <c r="N55" t="s">
        <v>557</v>
      </c>
    </row>
    <row r="56" spans="1:14" x14ac:dyDescent="0.25">
      <c r="A56" t="s">
        <v>558</v>
      </c>
      <c r="B56">
        <v>2025</v>
      </c>
      <c r="C56" t="s">
        <v>428</v>
      </c>
      <c r="D56" t="s">
        <v>429</v>
      </c>
      <c r="E56" t="s">
        <v>555</v>
      </c>
      <c r="F56" t="s">
        <v>556</v>
      </c>
      <c r="G56" t="s">
        <v>458</v>
      </c>
      <c r="H56" s="3">
        <v>269700</v>
      </c>
      <c r="I56" s="3">
        <v>269700</v>
      </c>
      <c r="J56" s="3">
        <v>0</v>
      </c>
      <c r="K56" t="s">
        <v>433</v>
      </c>
      <c r="L56" t="s">
        <v>433</v>
      </c>
      <c r="M56" t="s">
        <v>434</v>
      </c>
      <c r="N56" t="s">
        <v>557</v>
      </c>
    </row>
    <row r="57" spans="1:14" x14ac:dyDescent="0.25">
      <c r="A57" t="s">
        <v>559</v>
      </c>
      <c r="B57">
        <v>2025</v>
      </c>
      <c r="C57" t="s">
        <v>444</v>
      </c>
      <c r="D57" t="s">
        <v>429</v>
      </c>
      <c r="E57" t="s">
        <v>560</v>
      </c>
      <c r="F57" t="s">
        <v>561</v>
      </c>
      <c r="G57" t="s">
        <v>438</v>
      </c>
      <c r="H57" s="3">
        <v>1627200</v>
      </c>
      <c r="I57" s="3">
        <v>1627200</v>
      </c>
      <c r="J57" s="3">
        <v>0</v>
      </c>
      <c r="K57" t="s">
        <v>433</v>
      </c>
      <c r="L57" t="s">
        <v>433</v>
      </c>
      <c r="M57" t="s">
        <v>434</v>
      </c>
      <c r="N57" t="s">
        <v>562</v>
      </c>
    </row>
    <row r="58" spans="1:14" x14ac:dyDescent="0.25">
      <c r="A58" t="s">
        <v>563</v>
      </c>
      <c r="B58">
        <v>2025</v>
      </c>
      <c r="C58" t="s">
        <v>437</v>
      </c>
      <c r="D58" t="s">
        <v>429</v>
      </c>
      <c r="E58" t="s">
        <v>560</v>
      </c>
      <c r="F58" t="s">
        <v>561</v>
      </c>
      <c r="G58" t="s">
        <v>432</v>
      </c>
      <c r="H58" s="3">
        <v>112700</v>
      </c>
      <c r="I58" s="3">
        <v>112700</v>
      </c>
      <c r="J58" s="3">
        <v>0</v>
      </c>
      <c r="K58" t="s">
        <v>433</v>
      </c>
      <c r="L58" t="s">
        <v>433</v>
      </c>
      <c r="M58" t="s">
        <v>434</v>
      </c>
      <c r="N58" t="s">
        <v>515</v>
      </c>
    </row>
    <row r="59" spans="1:14" x14ac:dyDescent="0.25">
      <c r="A59" t="s">
        <v>564</v>
      </c>
      <c r="B59">
        <v>2026</v>
      </c>
      <c r="C59" t="s">
        <v>428</v>
      </c>
      <c r="D59" t="s">
        <v>429</v>
      </c>
      <c r="E59" t="s">
        <v>560</v>
      </c>
      <c r="F59" t="s">
        <v>561</v>
      </c>
      <c r="G59" t="s">
        <v>432</v>
      </c>
      <c r="H59" s="3">
        <v>100000</v>
      </c>
      <c r="I59" s="3">
        <v>100000</v>
      </c>
      <c r="J59" s="3">
        <v>0</v>
      </c>
      <c r="K59" t="s">
        <v>433</v>
      </c>
      <c r="L59" t="s">
        <v>433</v>
      </c>
      <c r="M59" t="s">
        <v>434</v>
      </c>
      <c r="N59" t="s">
        <v>378</v>
      </c>
    </row>
    <row r="60" spans="1:14" x14ac:dyDescent="0.25">
      <c r="A60" t="s">
        <v>565</v>
      </c>
      <c r="B60">
        <v>2026</v>
      </c>
      <c r="C60" t="s">
        <v>441</v>
      </c>
      <c r="D60" t="s">
        <v>429</v>
      </c>
      <c r="E60" t="s">
        <v>560</v>
      </c>
      <c r="F60" t="s">
        <v>561</v>
      </c>
      <c r="G60" t="s">
        <v>432</v>
      </c>
      <c r="H60" s="3">
        <v>112720</v>
      </c>
      <c r="I60" s="3">
        <v>112720</v>
      </c>
      <c r="J60" s="3">
        <v>0</v>
      </c>
      <c r="K60" t="s">
        <v>433</v>
      </c>
      <c r="L60" t="s">
        <v>433</v>
      </c>
      <c r="M60" t="s">
        <v>434</v>
      </c>
      <c r="N60" t="s">
        <v>521</v>
      </c>
    </row>
    <row r="61" spans="1:14" x14ac:dyDescent="0.25">
      <c r="A61" t="s">
        <v>566</v>
      </c>
      <c r="B61">
        <v>2026</v>
      </c>
      <c r="C61" t="s">
        <v>444</v>
      </c>
      <c r="D61" t="s">
        <v>429</v>
      </c>
      <c r="E61" t="s">
        <v>560</v>
      </c>
      <c r="F61" t="s">
        <v>561</v>
      </c>
      <c r="G61" t="s">
        <v>432</v>
      </c>
      <c r="H61" s="3">
        <v>112720</v>
      </c>
      <c r="I61" s="3">
        <v>0</v>
      </c>
      <c r="J61" s="3">
        <v>112720</v>
      </c>
      <c r="K61" t="s">
        <v>445</v>
      </c>
      <c r="L61" t="s">
        <v>445</v>
      </c>
      <c r="M61" t="s">
        <v>523</v>
      </c>
      <c r="N61" t="s">
        <v>524</v>
      </c>
    </row>
    <row r="62" spans="1:14" x14ac:dyDescent="0.25">
      <c r="A62" t="s">
        <v>567</v>
      </c>
      <c r="B62">
        <v>2026</v>
      </c>
      <c r="C62" t="s">
        <v>437</v>
      </c>
      <c r="D62" t="s">
        <v>429</v>
      </c>
      <c r="E62" t="s">
        <v>560</v>
      </c>
      <c r="F62" t="s">
        <v>561</v>
      </c>
      <c r="G62" t="s">
        <v>432</v>
      </c>
      <c r="H62" s="3">
        <v>112720</v>
      </c>
      <c r="I62" s="3">
        <v>0</v>
      </c>
      <c r="J62" s="3">
        <v>112720</v>
      </c>
      <c r="K62" t="s">
        <v>445</v>
      </c>
      <c r="L62" t="s">
        <v>445</v>
      </c>
      <c r="M62" t="s">
        <v>449</v>
      </c>
      <c r="N62" t="s">
        <v>526</v>
      </c>
    </row>
    <row r="63" spans="1:14" x14ac:dyDescent="0.25">
      <c r="A63" t="s">
        <v>568</v>
      </c>
      <c r="B63">
        <v>2027</v>
      </c>
      <c r="C63" t="s">
        <v>428</v>
      </c>
      <c r="D63" t="s">
        <v>429</v>
      </c>
      <c r="E63" t="s">
        <v>560</v>
      </c>
      <c r="F63" t="s">
        <v>561</v>
      </c>
      <c r="G63" t="s">
        <v>432</v>
      </c>
      <c r="H63" s="3">
        <v>112700</v>
      </c>
      <c r="I63" s="3">
        <v>0</v>
      </c>
      <c r="J63" s="3">
        <v>112700</v>
      </c>
      <c r="K63" t="s">
        <v>445</v>
      </c>
      <c r="L63" t="s">
        <v>445</v>
      </c>
      <c r="M63" t="s">
        <v>452</v>
      </c>
      <c r="N63" t="s">
        <v>528</v>
      </c>
    </row>
    <row r="64" spans="1:14" x14ac:dyDescent="0.25">
      <c r="A64" t="s">
        <v>569</v>
      </c>
      <c r="B64">
        <v>2025</v>
      </c>
      <c r="C64" t="s">
        <v>428</v>
      </c>
      <c r="D64" t="s">
        <v>429</v>
      </c>
      <c r="E64" t="s">
        <v>560</v>
      </c>
      <c r="F64" t="s">
        <v>561</v>
      </c>
      <c r="G64" t="s">
        <v>458</v>
      </c>
      <c r="H64" s="3">
        <v>100000</v>
      </c>
      <c r="I64" s="3">
        <v>0</v>
      </c>
      <c r="J64" s="3">
        <v>100000</v>
      </c>
      <c r="K64" t="s">
        <v>459</v>
      </c>
      <c r="L64" t="s">
        <v>517</v>
      </c>
      <c r="M64" t="s">
        <v>570</v>
      </c>
      <c r="N64" t="s">
        <v>509</v>
      </c>
    </row>
    <row r="65" spans="1:14" x14ac:dyDescent="0.25">
      <c r="A65" t="s">
        <v>571</v>
      </c>
      <c r="B65">
        <v>2025</v>
      </c>
      <c r="C65" t="s">
        <v>437</v>
      </c>
      <c r="D65" t="s">
        <v>429</v>
      </c>
      <c r="E65" t="s">
        <v>560</v>
      </c>
      <c r="F65" t="s">
        <v>561</v>
      </c>
      <c r="G65" t="s">
        <v>432</v>
      </c>
      <c r="H65" s="3">
        <v>20</v>
      </c>
      <c r="I65" s="3">
        <v>20</v>
      </c>
      <c r="J65" s="3">
        <v>0</v>
      </c>
      <c r="K65" t="s">
        <v>433</v>
      </c>
      <c r="L65" t="s">
        <v>433</v>
      </c>
      <c r="M65" t="s">
        <v>434</v>
      </c>
      <c r="N65" t="s">
        <v>572</v>
      </c>
    </row>
    <row r="66" spans="1:14" x14ac:dyDescent="0.25">
      <c r="A66" t="s">
        <v>573</v>
      </c>
      <c r="B66">
        <v>2025</v>
      </c>
      <c r="C66" t="s">
        <v>437</v>
      </c>
      <c r="D66" t="s">
        <v>574</v>
      </c>
      <c r="E66" t="s">
        <v>575</v>
      </c>
      <c r="F66" t="s">
        <v>576</v>
      </c>
      <c r="G66" t="s">
        <v>438</v>
      </c>
      <c r="H66" s="3">
        <v>3842500</v>
      </c>
      <c r="I66" s="3">
        <v>3842500</v>
      </c>
      <c r="J66" s="3">
        <v>0</v>
      </c>
      <c r="K66" t="s">
        <v>433</v>
      </c>
      <c r="L66" t="s">
        <v>433</v>
      </c>
      <c r="M66" t="s">
        <v>434</v>
      </c>
      <c r="N66" t="s">
        <v>577</v>
      </c>
    </row>
    <row r="67" spans="1:14" x14ac:dyDescent="0.25">
      <c r="A67" t="s">
        <v>578</v>
      </c>
      <c r="B67">
        <v>2026</v>
      </c>
      <c r="C67" t="s">
        <v>428</v>
      </c>
      <c r="D67" t="s">
        <v>574</v>
      </c>
      <c r="E67" t="s">
        <v>575</v>
      </c>
      <c r="F67" t="s">
        <v>576</v>
      </c>
      <c r="G67" t="s">
        <v>432</v>
      </c>
      <c r="H67" s="3">
        <v>200000</v>
      </c>
      <c r="I67" s="3">
        <v>200000</v>
      </c>
      <c r="J67" s="3">
        <v>0</v>
      </c>
      <c r="K67" t="s">
        <v>433</v>
      </c>
      <c r="L67" t="s">
        <v>433</v>
      </c>
      <c r="M67" t="s">
        <v>434</v>
      </c>
      <c r="N67" t="s">
        <v>579</v>
      </c>
    </row>
    <row r="68" spans="1:14" x14ac:dyDescent="0.25">
      <c r="A68" t="s">
        <v>580</v>
      </c>
      <c r="B68">
        <v>2026</v>
      </c>
      <c r="C68" t="s">
        <v>428</v>
      </c>
      <c r="D68" t="s">
        <v>574</v>
      </c>
      <c r="E68" t="s">
        <v>575</v>
      </c>
      <c r="F68" t="s">
        <v>576</v>
      </c>
      <c r="G68" t="s">
        <v>432</v>
      </c>
      <c r="H68" s="3">
        <v>147500</v>
      </c>
      <c r="I68" s="3">
        <v>147500</v>
      </c>
      <c r="J68" s="3">
        <v>0</v>
      </c>
      <c r="K68" t="s">
        <v>433</v>
      </c>
      <c r="L68" t="s">
        <v>433</v>
      </c>
      <c r="M68" t="s">
        <v>434</v>
      </c>
      <c r="N68" t="s">
        <v>75</v>
      </c>
    </row>
    <row r="69" spans="1:14" x14ac:dyDescent="0.25">
      <c r="A69" t="s">
        <v>581</v>
      </c>
      <c r="B69">
        <v>2026</v>
      </c>
      <c r="C69" t="s">
        <v>437</v>
      </c>
      <c r="D69" t="s">
        <v>574</v>
      </c>
      <c r="E69" t="s">
        <v>575</v>
      </c>
      <c r="F69" t="s">
        <v>576</v>
      </c>
      <c r="G69" t="s">
        <v>458</v>
      </c>
      <c r="H69" s="3">
        <v>239400</v>
      </c>
      <c r="I69" s="3">
        <v>0</v>
      </c>
      <c r="J69" s="3">
        <v>239400</v>
      </c>
      <c r="K69" t="s">
        <v>445</v>
      </c>
      <c r="L69" t="s">
        <v>445</v>
      </c>
      <c r="M69" t="s">
        <v>449</v>
      </c>
      <c r="N69" t="s">
        <v>582</v>
      </c>
    </row>
    <row r="70" spans="1:14" x14ac:dyDescent="0.25">
      <c r="A70" t="s">
        <v>583</v>
      </c>
      <c r="B70">
        <v>2026</v>
      </c>
      <c r="C70" t="s">
        <v>441</v>
      </c>
      <c r="D70" t="s">
        <v>472</v>
      </c>
      <c r="E70" t="s">
        <v>584</v>
      </c>
      <c r="F70" t="s">
        <v>585</v>
      </c>
      <c r="G70" t="s">
        <v>432</v>
      </c>
      <c r="H70" s="3">
        <v>200000</v>
      </c>
      <c r="I70" s="3">
        <v>200000</v>
      </c>
      <c r="J70" s="3">
        <v>0</v>
      </c>
      <c r="K70" t="s">
        <v>433</v>
      </c>
      <c r="L70" t="s">
        <v>433</v>
      </c>
      <c r="M70" t="s">
        <v>434</v>
      </c>
      <c r="N70" t="s">
        <v>586</v>
      </c>
    </row>
    <row r="71" spans="1:14" x14ac:dyDescent="0.25">
      <c r="A71" t="s">
        <v>587</v>
      </c>
      <c r="B71">
        <v>2025</v>
      </c>
      <c r="C71" t="s">
        <v>437</v>
      </c>
      <c r="D71" t="s">
        <v>472</v>
      </c>
      <c r="E71" t="s">
        <v>584</v>
      </c>
      <c r="F71" t="s">
        <v>585</v>
      </c>
      <c r="G71" t="s">
        <v>438</v>
      </c>
      <c r="H71" s="3">
        <v>4800000</v>
      </c>
      <c r="I71" s="3">
        <v>4800000</v>
      </c>
      <c r="J71" s="3">
        <v>0</v>
      </c>
      <c r="K71" t="s">
        <v>433</v>
      </c>
      <c r="L71" t="s">
        <v>433</v>
      </c>
      <c r="M71" t="s">
        <v>434</v>
      </c>
      <c r="N71" t="s">
        <v>577</v>
      </c>
    </row>
    <row r="72" spans="1:14" x14ac:dyDescent="0.25">
      <c r="A72" t="s">
        <v>588</v>
      </c>
      <c r="B72">
        <v>2025</v>
      </c>
      <c r="C72" t="s">
        <v>428</v>
      </c>
      <c r="D72" t="s">
        <v>472</v>
      </c>
      <c r="E72" t="s">
        <v>584</v>
      </c>
      <c r="F72" t="s">
        <v>585</v>
      </c>
      <c r="G72" t="s">
        <v>458</v>
      </c>
      <c r="H72" s="3">
        <v>300000</v>
      </c>
      <c r="I72" s="3">
        <v>300000</v>
      </c>
      <c r="J72" s="3">
        <v>0</v>
      </c>
      <c r="K72" t="s">
        <v>433</v>
      </c>
      <c r="L72" t="s">
        <v>433</v>
      </c>
      <c r="M72" t="s">
        <v>434</v>
      </c>
      <c r="N72" t="s">
        <v>589</v>
      </c>
    </row>
    <row r="73" spans="1:14" x14ac:dyDescent="0.25">
      <c r="A73" t="s">
        <v>590</v>
      </c>
      <c r="B73">
        <v>2025</v>
      </c>
      <c r="C73" t="s">
        <v>437</v>
      </c>
      <c r="D73" t="s">
        <v>429</v>
      </c>
      <c r="E73" t="s">
        <v>591</v>
      </c>
      <c r="F73" t="s">
        <v>592</v>
      </c>
      <c r="G73" t="s">
        <v>438</v>
      </c>
      <c r="H73" s="3">
        <v>4622600</v>
      </c>
      <c r="I73" s="3">
        <v>4622600</v>
      </c>
      <c r="J73" s="3">
        <v>0</v>
      </c>
      <c r="K73" t="s">
        <v>433</v>
      </c>
      <c r="L73" t="s">
        <v>433</v>
      </c>
      <c r="M73" t="s">
        <v>434</v>
      </c>
      <c r="N73" t="s">
        <v>593</v>
      </c>
    </row>
    <row r="74" spans="1:14" x14ac:dyDescent="0.25">
      <c r="A74" t="s">
        <v>594</v>
      </c>
      <c r="B74">
        <v>2025</v>
      </c>
      <c r="C74" t="s">
        <v>437</v>
      </c>
      <c r="D74" t="s">
        <v>429</v>
      </c>
      <c r="E74" t="s">
        <v>591</v>
      </c>
      <c r="F74" t="s">
        <v>592</v>
      </c>
      <c r="G74" t="s">
        <v>458</v>
      </c>
      <c r="H74" s="3">
        <v>277400</v>
      </c>
      <c r="I74" s="3">
        <v>277400</v>
      </c>
      <c r="J74" s="3">
        <v>0</v>
      </c>
      <c r="K74" t="s">
        <v>433</v>
      </c>
      <c r="L74" t="s">
        <v>433</v>
      </c>
      <c r="M74" t="s">
        <v>434</v>
      </c>
      <c r="N74" t="s">
        <v>593</v>
      </c>
    </row>
    <row r="75" spans="1:14" x14ac:dyDescent="0.25">
      <c r="A75" t="s">
        <v>595</v>
      </c>
      <c r="B75">
        <v>2025</v>
      </c>
      <c r="C75" t="s">
        <v>444</v>
      </c>
      <c r="D75" t="s">
        <v>429</v>
      </c>
      <c r="E75" t="s">
        <v>596</v>
      </c>
      <c r="F75" t="s">
        <v>597</v>
      </c>
      <c r="G75" t="s">
        <v>438</v>
      </c>
      <c r="H75" s="3">
        <v>2828000</v>
      </c>
      <c r="I75" s="3">
        <v>2828000</v>
      </c>
      <c r="J75" s="3">
        <v>0</v>
      </c>
      <c r="K75" t="s">
        <v>433</v>
      </c>
      <c r="L75" t="s">
        <v>433</v>
      </c>
      <c r="M75" t="s">
        <v>434</v>
      </c>
      <c r="N75" t="s">
        <v>562</v>
      </c>
    </row>
    <row r="76" spans="1:14" x14ac:dyDescent="0.25">
      <c r="A76" t="s">
        <v>598</v>
      </c>
      <c r="B76">
        <v>2026</v>
      </c>
      <c r="C76" t="s">
        <v>428</v>
      </c>
      <c r="D76" t="s">
        <v>429</v>
      </c>
      <c r="E76" t="s">
        <v>596</v>
      </c>
      <c r="F76" t="s">
        <v>597</v>
      </c>
      <c r="G76" t="s">
        <v>432</v>
      </c>
      <c r="H76" s="3">
        <v>200000</v>
      </c>
      <c r="I76" s="3">
        <v>200000</v>
      </c>
      <c r="J76" s="3">
        <v>0</v>
      </c>
      <c r="K76" t="s">
        <v>433</v>
      </c>
      <c r="L76" t="s">
        <v>433</v>
      </c>
      <c r="M76" t="s">
        <v>434</v>
      </c>
      <c r="N76" t="s">
        <v>32</v>
      </c>
    </row>
    <row r="77" spans="1:14" x14ac:dyDescent="0.25">
      <c r="A77" t="s">
        <v>599</v>
      </c>
      <c r="B77">
        <v>2026</v>
      </c>
      <c r="C77" t="s">
        <v>428</v>
      </c>
      <c r="D77" t="s">
        <v>429</v>
      </c>
      <c r="E77" t="s">
        <v>596</v>
      </c>
      <c r="F77" t="s">
        <v>597</v>
      </c>
      <c r="G77" t="s">
        <v>432</v>
      </c>
      <c r="H77" s="3">
        <v>250000</v>
      </c>
      <c r="I77" s="3">
        <v>0</v>
      </c>
      <c r="J77" s="3">
        <v>250000</v>
      </c>
      <c r="K77" t="s">
        <v>459</v>
      </c>
      <c r="L77" t="s">
        <v>517</v>
      </c>
      <c r="M77" t="s">
        <v>518</v>
      </c>
      <c r="N77" t="s">
        <v>519</v>
      </c>
    </row>
    <row r="78" spans="1:14" x14ac:dyDescent="0.25">
      <c r="A78" t="s">
        <v>600</v>
      </c>
      <c r="B78">
        <v>2026</v>
      </c>
      <c r="C78" t="s">
        <v>441</v>
      </c>
      <c r="D78" t="s">
        <v>429</v>
      </c>
      <c r="E78" t="s">
        <v>596</v>
      </c>
      <c r="F78" t="s">
        <v>597</v>
      </c>
      <c r="G78" t="s">
        <v>432</v>
      </c>
      <c r="H78" s="3">
        <v>250000</v>
      </c>
      <c r="I78" s="3">
        <v>0</v>
      </c>
      <c r="J78" s="3">
        <v>250000</v>
      </c>
      <c r="K78" t="s">
        <v>459</v>
      </c>
      <c r="L78" t="s">
        <v>460</v>
      </c>
      <c r="M78" t="s">
        <v>461</v>
      </c>
      <c r="N78" t="s">
        <v>521</v>
      </c>
    </row>
    <row r="79" spans="1:14" x14ac:dyDescent="0.25">
      <c r="A79" t="s">
        <v>601</v>
      </c>
      <c r="B79">
        <v>2026</v>
      </c>
      <c r="C79" t="s">
        <v>444</v>
      </c>
      <c r="D79" t="s">
        <v>429</v>
      </c>
      <c r="E79" t="s">
        <v>596</v>
      </c>
      <c r="F79" t="s">
        <v>597</v>
      </c>
      <c r="G79" t="s">
        <v>432</v>
      </c>
      <c r="H79" s="3">
        <v>250000</v>
      </c>
      <c r="I79" s="3">
        <v>0</v>
      </c>
      <c r="J79" s="3">
        <v>250000</v>
      </c>
      <c r="K79" t="s">
        <v>445</v>
      </c>
      <c r="L79" t="s">
        <v>445</v>
      </c>
      <c r="M79" t="s">
        <v>523</v>
      </c>
      <c r="N79" t="s">
        <v>524</v>
      </c>
    </row>
    <row r="80" spans="1:14" x14ac:dyDescent="0.25">
      <c r="A80" t="s">
        <v>602</v>
      </c>
      <c r="B80">
        <v>2026</v>
      </c>
      <c r="C80" t="s">
        <v>437</v>
      </c>
      <c r="D80" t="s">
        <v>429</v>
      </c>
      <c r="E80" t="s">
        <v>596</v>
      </c>
      <c r="F80" t="s">
        <v>597</v>
      </c>
      <c r="G80" t="s">
        <v>432</v>
      </c>
      <c r="H80" s="3">
        <v>250000</v>
      </c>
      <c r="I80" s="3">
        <v>0</v>
      </c>
      <c r="J80" s="3">
        <v>250000</v>
      </c>
      <c r="K80" t="s">
        <v>445</v>
      </c>
      <c r="L80" t="s">
        <v>445</v>
      </c>
      <c r="M80" t="s">
        <v>449</v>
      </c>
      <c r="N80" t="s">
        <v>526</v>
      </c>
    </row>
    <row r="81" spans="1:14" x14ac:dyDescent="0.25">
      <c r="A81" t="s">
        <v>603</v>
      </c>
      <c r="B81">
        <v>2027</v>
      </c>
      <c r="C81" t="s">
        <v>428</v>
      </c>
      <c r="D81" t="s">
        <v>429</v>
      </c>
      <c r="E81" t="s">
        <v>596</v>
      </c>
      <c r="F81" t="s">
        <v>597</v>
      </c>
      <c r="G81" t="s">
        <v>432</v>
      </c>
      <c r="H81" s="3">
        <v>250000</v>
      </c>
      <c r="I81" s="3">
        <v>0</v>
      </c>
      <c r="J81" s="3">
        <v>250000</v>
      </c>
      <c r="K81" t="s">
        <v>445</v>
      </c>
      <c r="L81" t="s">
        <v>445</v>
      </c>
      <c r="M81" t="s">
        <v>452</v>
      </c>
      <c r="N81" t="s">
        <v>528</v>
      </c>
    </row>
    <row r="82" spans="1:14" x14ac:dyDescent="0.25">
      <c r="A82" t="s">
        <v>604</v>
      </c>
      <c r="B82">
        <v>2027</v>
      </c>
      <c r="C82" t="s">
        <v>441</v>
      </c>
      <c r="D82" t="s">
        <v>429</v>
      </c>
      <c r="E82" t="s">
        <v>596</v>
      </c>
      <c r="F82" t="s">
        <v>597</v>
      </c>
      <c r="G82" t="s">
        <v>432</v>
      </c>
      <c r="H82" s="3">
        <v>250000</v>
      </c>
      <c r="I82" s="3">
        <v>0</v>
      </c>
      <c r="J82" s="3">
        <v>250000</v>
      </c>
      <c r="K82" t="s">
        <v>445</v>
      </c>
      <c r="L82" t="s">
        <v>445</v>
      </c>
      <c r="M82" t="s">
        <v>455</v>
      </c>
      <c r="N82" t="s">
        <v>530</v>
      </c>
    </row>
    <row r="83" spans="1:14" x14ac:dyDescent="0.25">
      <c r="A83" t="s">
        <v>605</v>
      </c>
      <c r="B83">
        <v>2027</v>
      </c>
      <c r="C83" t="s">
        <v>444</v>
      </c>
      <c r="D83" t="s">
        <v>429</v>
      </c>
      <c r="E83" t="s">
        <v>596</v>
      </c>
      <c r="F83" t="s">
        <v>597</v>
      </c>
      <c r="G83" t="s">
        <v>432</v>
      </c>
      <c r="H83" s="3">
        <v>250000</v>
      </c>
      <c r="I83" s="3">
        <v>0</v>
      </c>
      <c r="J83" s="3">
        <v>250000</v>
      </c>
      <c r="K83" t="s">
        <v>445</v>
      </c>
      <c r="L83" t="s">
        <v>445</v>
      </c>
      <c r="M83" t="s">
        <v>497</v>
      </c>
      <c r="N83" t="s">
        <v>532</v>
      </c>
    </row>
    <row r="84" spans="1:14" x14ac:dyDescent="0.25">
      <c r="A84" t="s">
        <v>606</v>
      </c>
      <c r="B84">
        <v>2027</v>
      </c>
      <c r="C84" t="s">
        <v>437</v>
      </c>
      <c r="D84" t="s">
        <v>429</v>
      </c>
      <c r="E84" t="s">
        <v>596</v>
      </c>
      <c r="F84" t="s">
        <v>597</v>
      </c>
      <c r="G84" t="s">
        <v>432</v>
      </c>
      <c r="H84" s="3">
        <v>250000</v>
      </c>
      <c r="I84" s="3">
        <v>0</v>
      </c>
      <c r="J84" s="3">
        <v>250000</v>
      </c>
      <c r="K84" t="s">
        <v>445</v>
      </c>
      <c r="L84" t="s">
        <v>445</v>
      </c>
      <c r="M84" t="s">
        <v>500</v>
      </c>
      <c r="N84" t="s">
        <v>607</v>
      </c>
    </row>
    <row r="85" spans="1:14" x14ac:dyDescent="0.25">
      <c r="A85" t="s">
        <v>608</v>
      </c>
      <c r="B85">
        <v>2025</v>
      </c>
      <c r="C85" t="s">
        <v>428</v>
      </c>
      <c r="D85" t="s">
        <v>429</v>
      </c>
      <c r="E85" t="s">
        <v>596</v>
      </c>
      <c r="F85" t="s">
        <v>597</v>
      </c>
      <c r="G85" t="s">
        <v>458</v>
      </c>
      <c r="H85" s="3">
        <v>293000</v>
      </c>
      <c r="I85" s="3">
        <v>293000</v>
      </c>
      <c r="J85" s="3">
        <v>0</v>
      </c>
      <c r="K85" t="s">
        <v>433</v>
      </c>
      <c r="L85" t="s">
        <v>433</v>
      </c>
      <c r="M85" t="s">
        <v>434</v>
      </c>
      <c r="N85" t="s">
        <v>609</v>
      </c>
    </row>
    <row r="86" spans="1:14" x14ac:dyDescent="0.25">
      <c r="A86" t="s">
        <v>610</v>
      </c>
      <c r="B86">
        <v>2025</v>
      </c>
      <c r="C86" t="s">
        <v>444</v>
      </c>
      <c r="D86" t="s">
        <v>574</v>
      </c>
      <c r="E86" t="s">
        <v>611</v>
      </c>
      <c r="F86" t="s">
        <v>612</v>
      </c>
      <c r="G86" t="s">
        <v>438</v>
      </c>
      <c r="H86" s="3">
        <v>1200000</v>
      </c>
      <c r="I86" s="3">
        <v>1200000</v>
      </c>
      <c r="J86" s="3">
        <v>0</v>
      </c>
      <c r="K86" t="s">
        <v>433</v>
      </c>
      <c r="L86" t="s">
        <v>433</v>
      </c>
      <c r="M86" t="s">
        <v>434</v>
      </c>
      <c r="N86" t="s">
        <v>613</v>
      </c>
    </row>
    <row r="87" spans="1:14" x14ac:dyDescent="0.25">
      <c r="A87" t="s">
        <v>614</v>
      </c>
      <c r="B87">
        <v>2026</v>
      </c>
      <c r="C87" t="s">
        <v>428</v>
      </c>
      <c r="D87" t="s">
        <v>574</v>
      </c>
      <c r="E87" t="s">
        <v>611</v>
      </c>
      <c r="F87" t="s">
        <v>612</v>
      </c>
      <c r="G87" t="s">
        <v>432</v>
      </c>
      <c r="H87" s="3">
        <v>535000</v>
      </c>
      <c r="I87" s="3">
        <v>535000</v>
      </c>
      <c r="J87" s="3">
        <v>0</v>
      </c>
      <c r="K87" t="s">
        <v>433</v>
      </c>
      <c r="L87" t="s">
        <v>433</v>
      </c>
      <c r="M87" t="s">
        <v>434</v>
      </c>
      <c r="N87" t="s">
        <v>615</v>
      </c>
    </row>
    <row r="88" spans="1:14" x14ac:dyDescent="0.25">
      <c r="A88" t="s">
        <v>616</v>
      </c>
      <c r="B88">
        <v>2026</v>
      </c>
      <c r="C88" t="s">
        <v>428</v>
      </c>
      <c r="D88" t="s">
        <v>574</v>
      </c>
      <c r="E88" t="s">
        <v>611</v>
      </c>
      <c r="F88" t="s">
        <v>612</v>
      </c>
      <c r="G88" t="s">
        <v>432</v>
      </c>
      <c r="H88" s="3">
        <v>535000</v>
      </c>
      <c r="I88" s="3">
        <v>535000</v>
      </c>
      <c r="J88" s="3">
        <v>0</v>
      </c>
      <c r="K88" t="s">
        <v>433</v>
      </c>
      <c r="L88" t="s">
        <v>433</v>
      </c>
      <c r="M88" t="s">
        <v>434</v>
      </c>
      <c r="N88" t="s">
        <v>617</v>
      </c>
    </row>
    <row r="89" spans="1:14" x14ac:dyDescent="0.25">
      <c r="A89" t="s">
        <v>618</v>
      </c>
      <c r="B89">
        <v>2026</v>
      </c>
      <c r="C89" t="s">
        <v>441</v>
      </c>
      <c r="D89" t="s">
        <v>574</v>
      </c>
      <c r="E89" t="s">
        <v>611</v>
      </c>
      <c r="F89" t="s">
        <v>612</v>
      </c>
      <c r="G89" t="s">
        <v>432</v>
      </c>
      <c r="H89" s="3">
        <v>535000</v>
      </c>
      <c r="I89" s="3">
        <v>535000</v>
      </c>
      <c r="J89" s="3">
        <v>0</v>
      </c>
      <c r="K89" t="s">
        <v>433</v>
      </c>
      <c r="L89" t="s">
        <v>433</v>
      </c>
      <c r="M89" t="s">
        <v>434</v>
      </c>
      <c r="N89" t="s">
        <v>619</v>
      </c>
    </row>
    <row r="90" spans="1:14" x14ac:dyDescent="0.25">
      <c r="A90" t="s">
        <v>620</v>
      </c>
      <c r="B90">
        <v>2026</v>
      </c>
      <c r="C90" t="s">
        <v>444</v>
      </c>
      <c r="D90" t="s">
        <v>574</v>
      </c>
      <c r="E90" t="s">
        <v>611</v>
      </c>
      <c r="F90" t="s">
        <v>612</v>
      </c>
      <c r="G90" t="s">
        <v>432</v>
      </c>
      <c r="H90" s="3">
        <v>535000</v>
      </c>
      <c r="I90" s="3">
        <v>0</v>
      </c>
      <c r="J90" s="3">
        <v>535000</v>
      </c>
      <c r="K90" t="s">
        <v>445</v>
      </c>
      <c r="L90" t="s">
        <v>445</v>
      </c>
      <c r="M90" t="s">
        <v>523</v>
      </c>
      <c r="N90" t="s">
        <v>621</v>
      </c>
    </row>
    <row r="91" spans="1:14" x14ac:dyDescent="0.25">
      <c r="A91" t="s">
        <v>622</v>
      </c>
      <c r="B91">
        <v>2026</v>
      </c>
      <c r="C91" t="s">
        <v>437</v>
      </c>
      <c r="D91" t="s">
        <v>574</v>
      </c>
      <c r="E91" t="s">
        <v>611</v>
      </c>
      <c r="F91" t="s">
        <v>612</v>
      </c>
      <c r="G91" t="s">
        <v>432</v>
      </c>
      <c r="H91" s="3">
        <v>535000</v>
      </c>
      <c r="I91" s="3">
        <v>0</v>
      </c>
      <c r="J91" s="3">
        <v>535000</v>
      </c>
      <c r="K91" t="s">
        <v>445</v>
      </c>
      <c r="L91" t="s">
        <v>445</v>
      </c>
      <c r="M91" t="s">
        <v>449</v>
      </c>
      <c r="N91" t="s">
        <v>623</v>
      </c>
    </row>
    <row r="92" spans="1:14" x14ac:dyDescent="0.25">
      <c r="A92" t="s">
        <v>624</v>
      </c>
      <c r="B92">
        <v>2027</v>
      </c>
      <c r="C92" t="s">
        <v>428</v>
      </c>
      <c r="D92" t="s">
        <v>574</v>
      </c>
      <c r="E92" t="s">
        <v>611</v>
      </c>
      <c r="F92" t="s">
        <v>612</v>
      </c>
      <c r="G92" t="s">
        <v>432</v>
      </c>
      <c r="H92" s="3">
        <v>535000</v>
      </c>
      <c r="I92" s="3">
        <v>0</v>
      </c>
      <c r="J92" s="3">
        <v>535000</v>
      </c>
      <c r="K92" t="s">
        <v>445</v>
      </c>
      <c r="L92" t="s">
        <v>445</v>
      </c>
      <c r="M92" t="s">
        <v>452</v>
      </c>
      <c r="N92" t="s">
        <v>625</v>
      </c>
    </row>
    <row r="93" spans="1:14" x14ac:dyDescent="0.25">
      <c r="A93" t="s">
        <v>626</v>
      </c>
      <c r="B93">
        <v>2027</v>
      </c>
      <c r="C93" t="s">
        <v>441</v>
      </c>
      <c r="D93" t="s">
        <v>574</v>
      </c>
      <c r="E93" t="s">
        <v>611</v>
      </c>
      <c r="F93" t="s">
        <v>612</v>
      </c>
      <c r="G93" t="s">
        <v>432</v>
      </c>
      <c r="H93" s="3">
        <v>535000</v>
      </c>
      <c r="I93" s="3">
        <v>0</v>
      </c>
      <c r="J93" s="3">
        <v>535000</v>
      </c>
      <c r="K93" t="s">
        <v>445</v>
      </c>
      <c r="L93" t="s">
        <v>445</v>
      </c>
      <c r="M93" t="s">
        <v>455</v>
      </c>
      <c r="N93" t="s">
        <v>627</v>
      </c>
    </row>
    <row r="94" spans="1:14" x14ac:dyDescent="0.25">
      <c r="A94" t="s">
        <v>628</v>
      </c>
      <c r="B94">
        <v>2027</v>
      </c>
      <c r="C94" t="s">
        <v>444</v>
      </c>
      <c r="D94" t="s">
        <v>574</v>
      </c>
      <c r="E94" t="s">
        <v>611</v>
      </c>
      <c r="F94" t="s">
        <v>612</v>
      </c>
      <c r="G94" t="s">
        <v>458</v>
      </c>
      <c r="H94" s="3">
        <v>330000</v>
      </c>
      <c r="I94" s="3">
        <v>0</v>
      </c>
      <c r="J94" s="3">
        <v>330000</v>
      </c>
      <c r="K94" t="s">
        <v>445</v>
      </c>
      <c r="L94" t="s">
        <v>445</v>
      </c>
      <c r="M94" t="s">
        <v>497</v>
      </c>
      <c r="N94" t="s">
        <v>629</v>
      </c>
    </row>
    <row r="95" spans="1:14" x14ac:dyDescent="0.25">
      <c r="A95" t="s">
        <v>630</v>
      </c>
      <c r="B95">
        <v>2025</v>
      </c>
      <c r="C95" t="s">
        <v>428</v>
      </c>
      <c r="D95" t="s">
        <v>472</v>
      </c>
      <c r="E95" t="s">
        <v>631</v>
      </c>
      <c r="F95" t="s">
        <v>632</v>
      </c>
      <c r="G95" t="s">
        <v>438</v>
      </c>
      <c r="H95" s="3">
        <v>1500000</v>
      </c>
      <c r="I95" s="3">
        <v>1500000</v>
      </c>
      <c r="J95" s="3">
        <v>0</v>
      </c>
      <c r="K95" t="s">
        <v>433</v>
      </c>
      <c r="L95" t="s">
        <v>433</v>
      </c>
      <c r="M95" t="s">
        <v>434</v>
      </c>
      <c r="N95" t="s">
        <v>633</v>
      </c>
    </row>
    <row r="96" spans="1:14" x14ac:dyDescent="0.25">
      <c r="A96" t="s">
        <v>634</v>
      </c>
      <c r="B96">
        <v>2025</v>
      </c>
      <c r="C96" t="s">
        <v>428</v>
      </c>
      <c r="D96" t="s">
        <v>472</v>
      </c>
      <c r="E96" t="s">
        <v>631</v>
      </c>
      <c r="F96" t="s">
        <v>632</v>
      </c>
      <c r="G96" t="s">
        <v>432</v>
      </c>
      <c r="H96" s="3">
        <v>700000</v>
      </c>
      <c r="I96" s="3">
        <v>700000</v>
      </c>
      <c r="J96" s="3">
        <v>0</v>
      </c>
      <c r="K96" t="s">
        <v>433</v>
      </c>
      <c r="L96" t="s">
        <v>433</v>
      </c>
      <c r="M96" t="s">
        <v>434</v>
      </c>
      <c r="N96" t="s">
        <v>635</v>
      </c>
    </row>
    <row r="97" spans="1:14" x14ac:dyDescent="0.25">
      <c r="A97" t="s">
        <v>636</v>
      </c>
      <c r="B97">
        <v>2025</v>
      </c>
      <c r="C97" t="s">
        <v>428</v>
      </c>
      <c r="D97" t="s">
        <v>472</v>
      </c>
      <c r="E97" t="s">
        <v>631</v>
      </c>
      <c r="F97" t="s">
        <v>632</v>
      </c>
      <c r="G97" t="s">
        <v>458</v>
      </c>
      <c r="H97" s="3">
        <v>120000</v>
      </c>
      <c r="I97" s="3">
        <v>120000</v>
      </c>
      <c r="J97" s="3">
        <v>0</v>
      </c>
      <c r="K97" t="s">
        <v>433</v>
      </c>
      <c r="L97" t="s">
        <v>433</v>
      </c>
      <c r="M97" t="s">
        <v>434</v>
      </c>
      <c r="N97" t="s">
        <v>637</v>
      </c>
    </row>
    <row r="98" spans="1:14" x14ac:dyDescent="0.25">
      <c r="A98" t="s">
        <v>638</v>
      </c>
      <c r="B98">
        <v>2026</v>
      </c>
      <c r="C98" t="s">
        <v>428</v>
      </c>
      <c r="D98" t="s">
        <v>429</v>
      </c>
      <c r="E98" t="s">
        <v>560</v>
      </c>
      <c r="F98" t="s">
        <v>561</v>
      </c>
      <c r="G98" t="s">
        <v>432</v>
      </c>
      <c r="H98" s="3">
        <v>12720</v>
      </c>
      <c r="I98" s="3">
        <v>12720</v>
      </c>
      <c r="J98" s="3">
        <v>0</v>
      </c>
      <c r="K98" t="s">
        <v>433</v>
      </c>
      <c r="L98" t="s">
        <v>433</v>
      </c>
      <c r="M98" t="s">
        <v>434</v>
      </c>
      <c r="N98" t="s">
        <v>70</v>
      </c>
    </row>
    <row r="99" spans="1:14" x14ac:dyDescent="0.25">
      <c r="A99" t="s">
        <v>639</v>
      </c>
      <c r="B99">
        <v>2026</v>
      </c>
      <c r="C99" t="s">
        <v>428</v>
      </c>
      <c r="D99" t="s">
        <v>429</v>
      </c>
      <c r="E99" t="s">
        <v>463</v>
      </c>
      <c r="F99" t="s">
        <v>464</v>
      </c>
      <c r="G99" t="s">
        <v>432</v>
      </c>
      <c r="H99" s="3">
        <v>300000</v>
      </c>
      <c r="I99" s="3">
        <v>0</v>
      </c>
      <c r="J99" s="3">
        <v>300000</v>
      </c>
      <c r="K99" t="s">
        <v>459</v>
      </c>
      <c r="L99" t="s">
        <v>517</v>
      </c>
      <c r="M99" t="s">
        <v>518</v>
      </c>
      <c r="N99" t="s">
        <v>205</v>
      </c>
    </row>
    <row r="100" spans="1:14" x14ac:dyDescent="0.25">
      <c r="A100" t="s">
        <v>640</v>
      </c>
      <c r="B100">
        <v>2026</v>
      </c>
      <c r="C100" t="s">
        <v>428</v>
      </c>
      <c r="D100" t="s">
        <v>429</v>
      </c>
      <c r="E100" t="s">
        <v>596</v>
      </c>
      <c r="F100" t="s">
        <v>597</v>
      </c>
      <c r="G100" t="s">
        <v>432</v>
      </c>
      <c r="H100" s="3">
        <v>50000</v>
      </c>
      <c r="I100" s="3">
        <v>50000</v>
      </c>
      <c r="J100" s="3">
        <v>0</v>
      </c>
      <c r="K100" t="s">
        <v>433</v>
      </c>
      <c r="L100" t="s">
        <v>433</v>
      </c>
      <c r="M100" t="s">
        <v>434</v>
      </c>
      <c r="N100" t="s">
        <v>32</v>
      </c>
    </row>
    <row r="101" spans="1:14" x14ac:dyDescent="0.25">
      <c r="A101" t="s">
        <v>641</v>
      </c>
      <c r="B101">
        <v>2026</v>
      </c>
      <c r="C101" t="s">
        <v>441</v>
      </c>
      <c r="D101" t="s">
        <v>642</v>
      </c>
      <c r="E101" t="s">
        <v>643</v>
      </c>
      <c r="F101" t="s">
        <v>644</v>
      </c>
      <c r="G101" t="s">
        <v>438</v>
      </c>
      <c r="H101" s="3">
        <v>3550000</v>
      </c>
      <c r="I101" s="3">
        <v>3550000</v>
      </c>
      <c r="J101" s="3">
        <v>0</v>
      </c>
      <c r="K101" t="s">
        <v>433</v>
      </c>
      <c r="L101" t="s">
        <v>433</v>
      </c>
      <c r="M101" t="s">
        <v>434</v>
      </c>
      <c r="N101" t="s">
        <v>645</v>
      </c>
    </row>
    <row r="102" spans="1:14" x14ac:dyDescent="0.25">
      <c r="A102" t="s">
        <v>646</v>
      </c>
      <c r="B102">
        <v>2026</v>
      </c>
      <c r="C102" t="s">
        <v>444</v>
      </c>
      <c r="D102" t="s">
        <v>642</v>
      </c>
      <c r="E102" t="s">
        <v>643</v>
      </c>
      <c r="F102" t="s">
        <v>644</v>
      </c>
      <c r="G102" t="s">
        <v>432</v>
      </c>
      <c r="H102" s="3">
        <v>375000</v>
      </c>
      <c r="I102" s="3">
        <v>0</v>
      </c>
      <c r="J102" s="3">
        <v>375000</v>
      </c>
      <c r="K102" t="s">
        <v>445</v>
      </c>
      <c r="L102" t="s">
        <v>445</v>
      </c>
      <c r="M102" t="s">
        <v>523</v>
      </c>
      <c r="N102" t="s">
        <v>524</v>
      </c>
    </row>
    <row r="103" spans="1:14" x14ac:dyDescent="0.25">
      <c r="A103" t="s">
        <v>647</v>
      </c>
      <c r="B103">
        <v>2026</v>
      </c>
      <c r="C103" t="s">
        <v>437</v>
      </c>
      <c r="D103" t="s">
        <v>642</v>
      </c>
      <c r="E103" t="s">
        <v>643</v>
      </c>
      <c r="F103" t="s">
        <v>644</v>
      </c>
      <c r="G103" t="s">
        <v>432</v>
      </c>
      <c r="H103" s="3">
        <v>275000</v>
      </c>
      <c r="I103" s="3">
        <v>0</v>
      </c>
      <c r="J103" s="3">
        <v>275000</v>
      </c>
      <c r="K103" t="s">
        <v>445</v>
      </c>
      <c r="L103" t="s">
        <v>445</v>
      </c>
      <c r="M103" t="s">
        <v>449</v>
      </c>
      <c r="N103" t="s">
        <v>526</v>
      </c>
    </row>
    <row r="104" spans="1:14" x14ac:dyDescent="0.25">
      <c r="A104" t="s">
        <v>648</v>
      </c>
      <c r="B104">
        <v>2027</v>
      </c>
      <c r="C104" t="s">
        <v>428</v>
      </c>
      <c r="D104" t="s">
        <v>642</v>
      </c>
      <c r="E104" t="s">
        <v>643</v>
      </c>
      <c r="F104" t="s">
        <v>644</v>
      </c>
      <c r="G104" t="s">
        <v>432</v>
      </c>
      <c r="H104" s="3">
        <v>375000</v>
      </c>
      <c r="I104" s="3">
        <v>0</v>
      </c>
      <c r="J104" s="3">
        <v>375000</v>
      </c>
      <c r="K104" t="s">
        <v>445</v>
      </c>
      <c r="L104" t="s">
        <v>445</v>
      </c>
      <c r="M104" t="s">
        <v>452</v>
      </c>
      <c r="N104" t="s">
        <v>528</v>
      </c>
    </row>
    <row r="105" spans="1:14" x14ac:dyDescent="0.25">
      <c r="A105" t="s">
        <v>649</v>
      </c>
      <c r="B105">
        <v>2027</v>
      </c>
      <c r="C105" t="s">
        <v>441</v>
      </c>
      <c r="D105" t="s">
        <v>642</v>
      </c>
      <c r="E105" t="s">
        <v>643</v>
      </c>
      <c r="F105" t="s">
        <v>644</v>
      </c>
      <c r="G105" t="s">
        <v>432</v>
      </c>
      <c r="H105" s="3">
        <v>375000</v>
      </c>
      <c r="I105" s="3">
        <v>0</v>
      </c>
      <c r="J105" s="3">
        <v>375000</v>
      </c>
      <c r="K105" t="s">
        <v>445</v>
      </c>
      <c r="L105" t="s">
        <v>445</v>
      </c>
      <c r="M105" t="s">
        <v>455</v>
      </c>
      <c r="N105" t="s">
        <v>530</v>
      </c>
    </row>
    <row r="106" spans="1:14" x14ac:dyDescent="0.25">
      <c r="A106" t="s">
        <v>650</v>
      </c>
      <c r="B106">
        <v>2027</v>
      </c>
      <c r="C106" t="s">
        <v>444</v>
      </c>
      <c r="D106" t="s">
        <v>642</v>
      </c>
      <c r="E106" t="s">
        <v>643</v>
      </c>
      <c r="F106" t="s">
        <v>644</v>
      </c>
      <c r="G106" t="s">
        <v>432</v>
      </c>
      <c r="H106" s="3">
        <v>375000</v>
      </c>
      <c r="I106" s="3">
        <v>0</v>
      </c>
      <c r="J106" s="3">
        <v>375000</v>
      </c>
      <c r="K106" t="s">
        <v>445</v>
      </c>
      <c r="L106" t="s">
        <v>445</v>
      </c>
      <c r="M106" t="s">
        <v>497</v>
      </c>
      <c r="N106" t="s">
        <v>532</v>
      </c>
    </row>
    <row r="107" spans="1:14" x14ac:dyDescent="0.25">
      <c r="A107" t="s">
        <v>651</v>
      </c>
      <c r="B107">
        <v>2027</v>
      </c>
      <c r="C107" t="s">
        <v>437</v>
      </c>
      <c r="D107" t="s">
        <v>642</v>
      </c>
      <c r="E107" t="s">
        <v>643</v>
      </c>
      <c r="F107" t="s">
        <v>644</v>
      </c>
      <c r="G107" t="s">
        <v>432</v>
      </c>
      <c r="H107" s="3">
        <v>375000</v>
      </c>
      <c r="I107" s="3">
        <v>0</v>
      </c>
      <c r="J107" s="3">
        <v>375000</v>
      </c>
      <c r="K107" t="s">
        <v>445</v>
      </c>
      <c r="L107" t="s">
        <v>445</v>
      </c>
      <c r="M107" t="s">
        <v>500</v>
      </c>
      <c r="N107" t="s">
        <v>607</v>
      </c>
    </row>
    <row r="108" spans="1:14" x14ac:dyDescent="0.25">
      <c r="A108" t="s">
        <v>652</v>
      </c>
      <c r="B108">
        <v>2028</v>
      </c>
      <c r="C108" t="s">
        <v>428</v>
      </c>
      <c r="D108" t="s">
        <v>642</v>
      </c>
      <c r="E108" t="s">
        <v>643</v>
      </c>
      <c r="F108" t="s">
        <v>644</v>
      </c>
      <c r="G108" t="s">
        <v>432</v>
      </c>
      <c r="H108" s="3">
        <v>375000</v>
      </c>
      <c r="I108" s="3">
        <v>0</v>
      </c>
      <c r="J108" s="3">
        <v>375000</v>
      </c>
      <c r="K108" t="s">
        <v>445</v>
      </c>
      <c r="L108" t="s">
        <v>445</v>
      </c>
      <c r="M108" t="s">
        <v>653</v>
      </c>
      <c r="N108" t="s">
        <v>654</v>
      </c>
    </row>
    <row r="109" spans="1:14" x14ac:dyDescent="0.25">
      <c r="A109" t="s">
        <v>655</v>
      </c>
      <c r="B109">
        <v>2028</v>
      </c>
      <c r="C109" t="s">
        <v>441</v>
      </c>
      <c r="D109" t="s">
        <v>642</v>
      </c>
      <c r="E109" t="s">
        <v>643</v>
      </c>
      <c r="F109" t="s">
        <v>644</v>
      </c>
      <c r="G109" t="s">
        <v>432</v>
      </c>
      <c r="H109" s="3">
        <v>325000</v>
      </c>
      <c r="I109" s="3">
        <v>0</v>
      </c>
      <c r="J109" s="3">
        <v>325000</v>
      </c>
      <c r="K109" t="s">
        <v>445</v>
      </c>
      <c r="L109" t="s">
        <v>445</v>
      </c>
      <c r="M109" t="s">
        <v>656</v>
      </c>
      <c r="N109" t="s">
        <v>657</v>
      </c>
    </row>
    <row r="110" spans="1:14" x14ac:dyDescent="0.25">
      <c r="A110" t="s">
        <v>658</v>
      </c>
      <c r="B110">
        <v>2026</v>
      </c>
      <c r="C110" t="s">
        <v>437</v>
      </c>
      <c r="D110" t="s">
        <v>642</v>
      </c>
      <c r="E110" t="s">
        <v>643</v>
      </c>
      <c r="F110" t="s">
        <v>644</v>
      </c>
      <c r="G110" t="s">
        <v>458</v>
      </c>
      <c r="H110" s="3">
        <v>500000</v>
      </c>
      <c r="I110" s="3">
        <v>0</v>
      </c>
      <c r="J110" s="3">
        <v>500000</v>
      </c>
      <c r="K110" t="s">
        <v>445</v>
      </c>
      <c r="L110" t="s">
        <v>445</v>
      </c>
      <c r="M110" t="s">
        <v>449</v>
      </c>
      <c r="N110" t="s">
        <v>526</v>
      </c>
    </row>
    <row r="111" spans="1:14" x14ac:dyDescent="0.25">
      <c r="A111" t="s">
        <v>659</v>
      </c>
      <c r="B111">
        <v>2026</v>
      </c>
      <c r="C111" t="s">
        <v>441</v>
      </c>
      <c r="D111" t="s">
        <v>642</v>
      </c>
      <c r="E111" t="s">
        <v>660</v>
      </c>
      <c r="F111" t="s">
        <v>661</v>
      </c>
      <c r="G111" t="s">
        <v>438</v>
      </c>
      <c r="H111" s="3">
        <v>50000</v>
      </c>
      <c r="I111" s="3">
        <v>50000</v>
      </c>
      <c r="J111" s="3">
        <v>0</v>
      </c>
      <c r="K111" t="s">
        <v>433</v>
      </c>
      <c r="L111" t="s">
        <v>433</v>
      </c>
      <c r="M111" t="s">
        <v>434</v>
      </c>
      <c r="N111" t="s">
        <v>261</v>
      </c>
    </row>
    <row r="112" spans="1:14" x14ac:dyDescent="0.25">
      <c r="A112" t="s">
        <v>662</v>
      </c>
      <c r="B112">
        <v>2026</v>
      </c>
      <c r="C112" t="s">
        <v>444</v>
      </c>
      <c r="D112" t="s">
        <v>642</v>
      </c>
      <c r="E112" t="s">
        <v>660</v>
      </c>
      <c r="F112" t="s">
        <v>661</v>
      </c>
      <c r="G112" t="s">
        <v>438</v>
      </c>
      <c r="H112" s="3">
        <v>550000</v>
      </c>
      <c r="I112" s="3">
        <v>0</v>
      </c>
      <c r="J112" s="3">
        <v>550000</v>
      </c>
      <c r="K112" t="s">
        <v>445</v>
      </c>
      <c r="L112" t="s">
        <v>445</v>
      </c>
      <c r="M112" t="s">
        <v>663</v>
      </c>
      <c r="N112" t="s">
        <v>664</v>
      </c>
    </row>
    <row r="113" spans="1:14" x14ac:dyDescent="0.25">
      <c r="A113" t="s">
        <v>665</v>
      </c>
      <c r="B113">
        <v>2026</v>
      </c>
      <c r="C113" t="s">
        <v>444</v>
      </c>
      <c r="D113" t="s">
        <v>642</v>
      </c>
      <c r="E113" t="s">
        <v>660</v>
      </c>
      <c r="F113" t="s">
        <v>661</v>
      </c>
      <c r="G113" t="s">
        <v>438</v>
      </c>
      <c r="H113" s="3">
        <v>500000</v>
      </c>
      <c r="I113" s="3">
        <v>0</v>
      </c>
      <c r="J113" s="3">
        <v>500000</v>
      </c>
      <c r="K113" t="s">
        <v>445</v>
      </c>
      <c r="L113" t="s">
        <v>445</v>
      </c>
      <c r="M113" t="s">
        <v>523</v>
      </c>
      <c r="N113" t="s">
        <v>524</v>
      </c>
    </row>
    <row r="114" spans="1:14" x14ac:dyDescent="0.25">
      <c r="A114" t="s">
        <v>666</v>
      </c>
      <c r="B114">
        <v>2026</v>
      </c>
      <c r="C114" t="s">
        <v>444</v>
      </c>
      <c r="D114" t="s">
        <v>642</v>
      </c>
      <c r="E114" t="s">
        <v>660</v>
      </c>
      <c r="F114" t="s">
        <v>661</v>
      </c>
      <c r="G114" t="s">
        <v>432</v>
      </c>
      <c r="H114" s="3">
        <v>200000</v>
      </c>
      <c r="I114" s="3">
        <v>0</v>
      </c>
      <c r="J114" s="3">
        <v>200000</v>
      </c>
      <c r="K114" t="s">
        <v>445</v>
      </c>
      <c r="L114" t="s">
        <v>445</v>
      </c>
      <c r="M114" t="s">
        <v>523</v>
      </c>
      <c r="N114" t="s">
        <v>667</v>
      </c>
    </row>
    <row r="115" spans="1:14" x14ac:dyDescent="0.25">
      <c r="A115" t="s">
        <v>668</v>
      </c>
      <c r="B115">
        <v>2027</v>
      </c>
      <c r="C115" t="s">
        <v>428</v>
      </c>
      <c r="D115" t="s">
        <v>642</v>
      </c>
      <c r="E115" t="s">
        <v>660</v>
      </c>
      <c r="F115" t="s">
        <v>661</v>
      </c>
      <c r="G115" t="s">
        <v>432</v>
      </c>
      <c r="H115" s="3">
        <v>480000</v>
      </c>
      <c r="I115" s="3">
        <v>0</v>
      </c>
      <c r="J115" s="3">
        <v>480000</v>
      </c>
      <c r="K115" t="s">
        <v>445</v>
      </c>
      <c r="L115" t="s">
        <v>445</v>
      </c>
      <c r="M115" t="s">
        <v>452</v>
      </c>
      <c r="N115" t="s">
        <v>669</v>
      </c>
    </row>
    <row r="116" spans="1:14" x14ac:dyDescent="0.25">
      <c r="A116" t="s">
        <v>670</v>
      </c>
      <c r="B116">
        <v>2027</v>
      </c>
      <c r="C116" t="s">
        <v>441</v>
      </c>
      <c r="D116" t="s">
        <v>642</v>
      </c>
      <c r="E116" t="s">
        <v>660</v>
      </c>
      <c r="F116" t="s">
        <v>661</v>
      </c>
      <c r="G116" t="s">
        <v>432</v>
      </c>
      <c r="H116" s="3">
        <v>480000</v>
      </c>
      <c r="I116" s="3">
        <v>0</v>
      </c>
      <c r="J116" s="3">
        <v>480000</v>
      </c>
      <c r="K116" t="s">
        <v>445</v>
      </c>
      <c r="L116" t="s">
        <v>445</v>
      </c>
      <c r="M116" t="s">
        <v>455</v>
      </c>
      <c r="N116" t="s">
        <v>671</v>
      </c>
    </row>
    <row r="117" spans="1:14" x14ac:dyDescent="0.25">
      <c r="A117" t="s">
        <v>672</v>
      </c>
      <c r="B117">
        <v>2027</v>
      </c>
      <c r="C117" t="s">
        <v>444</v>
      </c>
      <c r="D117" t="s">
        <v>642</v>
      </c>
      <c r="E117" t="s">
        <v>660</v>
      </c>
      <c r="F117" t="s">
        <v>661</v>
      </c>
      <c r="G117" t="s">
        <v>432</v>
      </c>
      <c r="H117" s="3">
        <v>480000</v>
      </c>
      <c r="I117" s="3">
        <v>0</v>
      </c>
      <c r="J117" s="3">
        <v>480000</v>
      </c>
      <c r="K117" t="s">
        <v>445</v>
      </c>
      <c r="L117" t="s">
        <v>445</v>
      </c>
      <c r="M117" t="s">
        <v>497</v>
      </c>
      <c r="N117" t="s">
        <v>673</v>
      </c>
    </row>
    <row r="118" spans="1:14" x14ac:dyDescent="0.25">
      <c r="A118" t="s">
        <v>674</v>
      </c>
      <c r="B118">
        <v>2027</v>
      </c>
      <c r="C118" t="s">
        <v>437</v>
      </c>
      <c r="D118" t="s">
        <v>642</v>
      </c>
      <c r="E118" t="s">
        <v>660</v>
      </c>
      <c r="F118" t="s">
        <v>661</v>
      </c>
      <c r="G118" t="s">
        <v>432</v>
      </c>
      <c r="H118" s="3">
        <v>480000</v>
      </c>
      <c r="I118" s="3">
        <v>0</v>
      </c>
      <c r="J118" s="3">
        <v>480000</v>
      </c>
      <c r="K118" t="s">
        <v>445</v>
      </c>
      <c r="L118" t="s">
        <v>445</v>
      </c>
      <c r="M118" t="s">
        <v>500</v>
      </c>
      <c r="N118" t="s">
        <v>675</v>
      </c>
    </row>
    <row r="119" spans="1:14" x14ac:dyDescent="0.25">
      <c r="A119" t="s">
        <v>676</v>
      </c>
      <c r="B119">
        <v>2028</v>
      </c>
      <c r="C119" t="s">
        <v>428</v>
      </c>
      <c r="D119" t="s">
        <v>642</v>
      </c>
      <c r="E119" t="s">
        <v>660</v>
      </c>
      <c r="F119" t="s">
        <v>661</v>
      </c>
      <c r="G119" t="s">
        <v>432</v>
      </c>
      <c r="H119" s="3">
        <v>569890</v>
      </c>
      <c r="I119" s="3">
        <v>0</v>
      </c>
      <c r="J119" s="3">
        <v>569890</v>
      </c>
      <c r="K119" t="s">
        <v>445</v>
      </c>
      <c r="L119" t="s">
        <v>445</v>
      </c>
      <c r="M119" t="s">
        <v>653</v>
      </c>
      <c r="N119" t="s">
        <v>677</v>
      </c>
    </row>
    <row r="120" spans="1:14" x14ac:dyDescent="0.25">
      <c r="A120" t="s">
        <v>678</v>
      </c>
      <c r="B120">
        <v>2028</v>
      </c>
      <c r="C120" t="s">
        <v>441</v>
      </c>
      <c r="D120" t="s">
        <v>642</v>
      </c>
      <c r="E120" t="s">
        <v>660</v>
      </c>
      <c r="F120" t="s">
        <v>661</v>
      </c>
      <c r="G120" t="s">
        <v>432</v>
      </c>
      <c r="H120" s="3">
        <v>569890</v>
      </c>
      <c r="I120" s="3">
        <v>0</v>
      </c>
      <c r="J120" s="3">
        <v>569890</v>
      </c>
      <c r="K120" t="s">
        <v>445</v>
      </c>
      <c r="L120" t="s">
        <v>445</v>
      </c>
      <c r="M120" t="s">
        <v>656</v>
      </c>
      <c r="N120" t="s">
        <v>679</v>
      </c>
    </row>
    <row r="121" spans="1:14" x14ac:dyDescent="0.25">
      <c r="A121" t="s">
        <v>680</v>
      </c>
      <c r="B121">
        <v>2028</v>
      </c>
      <c r="C121" t="s">
        <v>444</v>
      </c>
      <c r="D121" t="s">
        <v>642</v>
      </c>
      <c r="E121" t="s">
        <v>660</v>
      </c>
      <c r="F121" t="s">
        <v>661</v>
      </c>
      <c r="G121" t="s">
        <v>432</v>
      </c>
      <c r="H121" s="3">
        <v>569890</v>
      </c>
      <c r="I121" s="3">
        <v>0</v>
      </c>
      <c r="J121" s="3">
        <v>569890</v>
      </c>
      <c r="K121" t="s">
        <v>445</v>
      </c>
      <c r="L121" t="s">
        <v>445</v>
      </c>
      <c r="M121" t="s">
        <v>681</v>
      </c>
      <c r="N121" t="s">
        <v>682</v>
      </c>
    </row>
    <row r="122" spans="1:14" x14ac:dyDescent="0.25">
      <c r="A122" t="s">
        <v>683</v>
      </c>
      <c r="B122">
        <v>2028</v>
      </c>
      <c r="C122" t="s">
        <v>441</v>
      </c>
      <c r="D122" t="s">
        <v>642</v>
      </c>
      <c r="E122" t="s">
        <v>660</v>
      </c>
      <c r="F122" t="s">
        <v>661</v>
      </c>
      <c r="G122" t="s">
        <v>458</v>
      </c>
      <c r="H122" s="3">
        <v>478374</v>
      </c>
      <c r="I122" s="3">
        <v>0</v>
      </c>
      <c r="J122" s="3">
        <v>478374</v>
      </c>
      <c r="K122" t="s">
        <v>445</v>
      </c>
      <c r="L122" t="s">
        <v>445</v>
      </c>
      <c r="M122" t="s">
        <v>656</v>
      </c>
      <c r="N122" t="s">
        <v>684</v>
      </c>
    </row>
    <row r="123" spans="1:14" x14ac:dyDescent="0.25">
      <c r="A123" t="s">
        <v>685</v>
      </c>
      <c r="B123">
        <v>2026</v>
      </c>
      <c r="C123" t="s">
        <v>441</v>
      </c>
      <c r="D123" t="s">
        <v>642</v>
      </c>
      <c r="E123" t="s">
        <v>660</v>
      </c>
      <c r="F123" t="s">
        <v>661</v>
      </c>
      <c r="G123" t="s">
        <v>438</v>
      </c>
      <c r="H123" s="3">
        <v>20000</v>
      </c>
      <c r="I123" s="3">
        <v>20000</v>
      </c>
      <c r="J123" s="3">
        <v>0</v>
      </c>
      <c r="K123" t="s">
        <v>433</v>
      </c>
      <c r="L123" t="s">
        <v>433</v>
      </c>
      <c r="M123" t="s">
        <v>434</v>
      </c>
      <c r="N123" t="s">
        <v>686</v>
      </c>
    </row>
    <row r="124" spans="1:14" x14ac:dyDescent="0.25">
      <c r="A124" t="s">
        <v>687</v>
      </c>
      <c r="B124">
        <v>2026</v>
      </c>
      <c r="C124" t="s">
        <v>441</v>
      </c>
      <c r="D124" t="s">
        <v>642</v>
      </c>
      <c r="E124" t="s">
        <v>660</v>
      </c>
      <c r="F124" t="s">
        <v>661</v>
      </c>
      <c r="G124" t="s">
        <v>438</v>
      </c>
      <c r="H124" s="3">
        <v>380000</v>
      </c>
      <c r="I124" s="3">
        <v>380000</v>
      </c>
      <c r="J124" s="3">
        <v>0</v>
      </c>
      <c r="K124" t="s">
        <v>433</v>
      </c>
      <c r="L124" t="s">
        <v>433</v>
      </c>
      <c r="M124" t="s">
        <v>434</v>
      </c>
      <c r="N124" t="s">
        <v>686</v>
      </c>
    </row>
    <row r="125" spans="1:14" x14ac:dyDescent="0.25">
      <c r="A125" t="s">
        <v>688</v>
      </c>
      <c r="B125">
        <v>2026</v>
      </c>
      <c r="C125" t="s">
        <v>441</v>
      </c>
      <c r="D125" t="s">
        <v>642</v>
      </c>
      <c r="E125" t="s">
        <v>660</v>
      </c>
      <c r="F125" t="s">
        <v>661</v>
      </c>
      <c r="G125" t="s">
        <v>438</v>
      </c>
      <c r="H125" s="3">
        <v>60000</v>
      </c>
      <c r="I125" s="3">
        <v>60000</v>
      </c>
      <c r="J125" s="3">
        <v>0</v>
      </c>
      <c r="K125" t="s">
        <v>433</v>
      </c>
      <c r="L125" t="s">
        <v>433</v>
      </c>
      <c r="M125" t="s">
        <v>434</v>
      </c>
      <c r="N125" t="s">
        <v>686</v>
      </c>
    </row>
    <row r="126" spans="1:14" x14ac:dyDescent="0.25">
      <c r="A126" t="s">
        <v>689</v>
      </c>
      <c r="B126">
        <v>2026</v>
      </c>
      <c r="C126" t="s">
        <v>441</v>
      </c>
      <c r="D126" t="s">
        <v>642</v>
      </c>
      <c r="E126" t="s">
        <v>660</v>
      </c>
      <c r="F126" t="s">
        <v>661</v>
      </c>
      <c r="G126" t="s">
        <v>438</v>
      </c>
      <c r="H126" s="3">
        <v>6608</v>
      </c>
      <c r="I126" s="3">
        <v>6608</v>
      </c>
      <c r="J126" s="3">
        <v>0</v>
      </c>
      <c r="K126" t="s">
        <v>433</v>
      </c>
      <c r="L126" t="s">
        <v>433</v>
      </c>
      <c r="M126" t="s">
        <v>434</v>
      </c>
      <c r="N126" t="s">
        <v>271</v>
      </c>
    </row>
    <row r="127" spans="1:14" x14ac:dyDescent="0.25">
      <c r="A127" t="s">
        <v>690</v>
      </c>
      <c r="B127">
        <v>2026</v>
      </c>
      <c r="C127" t="s">
        <v>441</v>
      </c>
      <c r="D127" t="s">
        <v>642</v>
      </c>
      <c r="E127" t="s">
        <v>660</v>
      </c>
      <c r="F127" t="s">
        <v>661</v>
      </c>
      <c r="G127" t="s">
        <v>438</v>
      </c>
      <c r="H127" s="3">
        <v>583392</v>
      </c>
      <c r="I127" s="3">
        <v>583392</v>
      </c>
      <c r="J127" s="3">
        <v>0</v>
      </c>
      <c r="K127" t="s">
        <v>433</v>
      </c>
      <c r="L127" t="s">
        <v>433</v>
      </c>
      <c r="M127" t="s">
        <v>434</v>
      </c>
      <c r="N127" t="s">
        <v>271</v>
      </c>
    </row>
    <row r="128" spans="1:14" x14ac:dyDescent="0.25">
      <c r="A128" t="s">
        <v>691</v>
      </c>
      <c r="B128">
        <v>2025</v>
      </c>
      <c r="C128" t="s">
        <v>437</v>
      </c>
      <c r="D128" t="s">
        <v>574</v>
      </c>
      <c r="E128" t="s">
        <v>692</v>
      </c>
      <c r="F128" t="s">
        <v>693</v>
      </c>
      <c r="G128" t="s">
        <v>438</v>
      </c>
      <c r="H128" s="3">
        <v>2800000</v>
      </c>
      <c r="I128" s="3">
        <v>2800000</v>
      </c>
      <c r="J128" s="3">
        <v>0</v>
      </c>
      <c r="K128" t="s">
        <v>433</v>
      </c>
      <c r="L128" t="s">
        <v>433</v>
      </c>
      <c r="M128" t="s">
        <v>434</v>
      </c>
      <c r="N128" t="s">
        <v>694</v>
      </c>
    </row>
    <row r="129" spans="1:14" x14ac:dyDescent="0.25">
      <c r="A129" t="s">
        <v>695</v>
      </c>
      <c r="B129">
        <v>2026</v>
      </c>
      <c r="C129" t="s">
        <v>428</v>
      </c>
      <c r="D129" t="s">
        <v>574</v>
      </c>
      <c r="E129" t="s">
        <v>692</v>
      </c>
      <c r="F129" t="s">
        <v>693</v>
      </c>
      <c r="G129" t="s">
        <v>432</v>
      </c>
      <c r="H129" s="3">
        <v>400000</v>
      </c>
      <c r="I129" s="3">
        <v>400000</v>
      </c>
      <c r="J129" s="3">
        <v>0</v>
      </c>
      <c r="K129" t="s">
        <v>433</v>
      </c>
      <c r="L129" t="s">
        <v>433</v>
      </c>
      <c r="M129" t="s">
        <v>434</v>
      </c>
      <c r="N129" t="s">
        <v>696</v>
      </c>
    </row>
    <row r="130" spans="1:14" x14ac:dyDescent="0.25">
      <c r="A130" t="s">
        <v>697</v>
      </c>
      <c r="B130">
        <v>2026</v>
      </c>
      <c r="C130" t="s">
        <v>428</v>
      </c>
      <c r="D130" t="s">
        <v>574</v>
      </c>
      <c r="E130" t="s">
        <v>692</v>
      </c>
      <c r="F130" t="s">
        <v>693</v>
      </c>
      <c r="G130" t="s">
        <v>432</v>
      </c>
      <c r="H130" s="3">
        <v>500000</v>
      </c>
      <c r="I130" s="3">
        <v>500000</v>
      </c>
      <c r="J130" s="3">
        <v>0</v>
      </c>
      <c r="K130" t="s">
        <v>433</v>
      </c>
      <c r="L130" t="s">
        <v>433</v>
      </c>
      <c r="M130" t="s">
        <v>434</v>
      </c>
      <c r="N130" t="s">
        <v>698</v>
      </c>
    </row>
    <row r="131" spans="1:14" x14ac:dyDescent="0.25">
      <c r="A131" t="s">
        <v>699</v>
      </c>
      <c r="B131">
        <v>2026</v>
      </c>
      <c r="C131" t="s">
        <v>444</v>
      </c>
      <c r="D131" t="s">
        <v>574</v>
      </c>
      <c r="E131" t="s">
        <v>692</v>
      </c>
      <c r="F131" t="s">
        <v>693</v>
      </c>
      <c r="G131" t="s">
        <v>432</v>
      </c>
      <c r="H131" s="3">
        <v>565000</v>
      </c>
      <c r="I131" s="3">
        <v>0</v>
      </c>
      <c r="J131" s="3">
        <v>565000</v>
      </c>
      <c r="K131" t="s">
        <v>445</v>
      </c>
      <c r="L131" t="s">
        <v>445</v>
      </c>
      <c r="M131" t="s">
        <v>523</v>
      </c>
      <c r="N131" t="s">
        <v>700</v>
      </c>
    </row>
    <row r="132" spans="1:14" x14ac:dyDescent="0.25">
      <c r="A132" t="s">
        <v>701</v>
      </c>
      <c r="B132">
        <v>2027</v>
      </c>
      <c r="C132" t="s">
        <v>444</v>
      </c>
      <c r="D132" t="s">
        <v>574</v>
      </c>
      <c r="E132" t="s">
        <v>692</v>
      </c>
      <c r="F132" t="s">
        <v>693</v>
      </c>
      <c r="G132" t="s">
        <v>458</v>
      </c>
      <c r="H132" s="3">
        <v>300000</v>
      </c>
      <c r="I132" s="3">
        <v>0</v>
      </c>
      <c r="J132" s="3">
        <v>300000</v>
      </c>
      <c r="K132" t="s">
        <v>445</v>
      </c>
      <c r="L132" t="s">
        <v>445</v>
      </c>
      <c r="M132" t="s">
        <v>497</v>
      </c>
      <c r="N132" t="s">
        <v>702</v>
      </c>
    </row>
    <row r="133" spans="1:14" x14ac:dyDescent="0.25">
      <c r="A133" t="s">
        <v>703</v>
      </c>
      <c r="B133">
        <v>2026</v>
      </c>
      <c r="C133" t="s">
        <v>441</v>
      </c>
      <c r="D133" t="s">
        <v>574</v>
      </c>
      <c r="E133" t="s">
        <v>704</v>
      </c>
      <c r="F133" t="s">
        <v>705</v>
      </c>
      <c r="G133" t="s">
        <v>438</v>
      </c>
      <c r="H133" s="3">
        <v>5050000</v>
      </c>
      <c r="I133" s="3">
        <v>5050000</v>
      </c>
      <c r="J133" s="3">
        <v>0</v>
      </c>
      <c r="K133" t="s">
        <v>433</v>
      </c>
      <c r="L133" t="s">
        <v>433</v>
      </c>
      <c r="M133" t="s">
        <v>434</v>
      </c>
      <c r="N133" t="s">
        <v>271</v>
      </c>
    </row>
    <row r="134" spans="1:14" x14ac:dyDescent="0.25">
      <c r="A134" t="s">
        <v>706</v>
      </c>
      <c r="B134">
        <v>2026</v>
      </c>
      <c r="C134" t="s">
        <v>437</v>
      </c>
      <c r="D134" t="s">
        <v>574</v>
      </c>
      <c r="E134" t="s">
        <v>704</v>
      </c>
      <c r="F134" t="s">
        <v>705</v>
      </c>
      <c r="G134" t="s">
        <v>432</v>
      </c>
      <c r="H134" s="3">
        <v>1600000</v>
      </c>
      <c r="I134" s="3">
        <v>0</v>
      </c>
      <c r="J134" s="3">
        <v>1600000</v>
      </c>
      <c r="K134" t="s">
        <v>445</v>
      </c>
      <c r="L134" t="s">
        <v>445</v>
      </c>
      <c r="M134" t="s">
        <v>449</v>
      </c>
      <c r="N134" t="s">
        <v>707</v>
      </c>
    </row>
    <row r="135" spans="1:14" x14ac:dyDescent="0.25">
      <c r="A135" t="s">
        <v>708</v>
      </c>
      <c r="B135">
        <v>2028</v>
      </c>
      <c r="C135" t="s">
        <v>441</v>
      </c>
      <c r="D135" t="s">
        <v>574</v>
      </c>
      <c r="E135" t="s">
        <v>704</v>
      </c>
      <c r="F135" t="s">
        <v>705</v>
      </c>
      <c r="G135" t="s">
        <v>458</v>
      </c>
      <c r="H135" s="3">
        <v>404000</v>
      </c>
      <c r="I135" s="3">
        <v>0</v>
      </c>
      <c r="J135" s="3">
        <v>404000</v>
      </c>
      <c r="K135" t="s">
        <v>445</v>
      </c>
      <c r="L135" t="s">
        <v>445</v>
      </c>
      <c r="M135" t="s">
        <v>656</v>
      </c>
      <c r="N135" t="s">
        <v>709</v>
      </c>
    </row>
    <row r="136" spans="1:14" x14ac:dyDescent="0.25">
      <c r="A136" t="s">
        <v>710</v>
      </c>
      <c r="B136">
        <v>2025</v>
      </c>
      <c r="C136" t="s">
        <v>428</v>
      </c>
      <c r="D136" t="s">
        <v>472</v>
      </c>
      <c r="E136" t="s">
        <v>711</v>
      </c>
      <c r="F136" t="s">
        <v>585</v>
      </c>
      <c r="G136" t="s">
        <v>438</v>
      </c>
      <c r="H136" s="3">
        <v>1500000</v>
      </c>
      <c r="I136" s="3">
        <v>1500000</v>
      </c>
      <c r="J136" s="3">
        <v>0</v>
      </c>
      <c r="K136" t="s">
        <v>433</v>
      </c>
      <c r="L136" t="s">
        <v>433</v>
      </c>
      <c r="M136" t="s">
        <v>434</v>
      </c>
      <c r="N136" t="s">
        <v>589</v>
      </c>
    </row>
    <row r="137" spans="1:14" x14ac:dyDescent="0.25">
      <c r="A137" t="s">
        <v>712</v>
      </c>
      <c r="B137">
        <v>2025</v>
      </c>
      <c r="C137" t="s">
        <v>428</v>
      </c>
      <c r="D137" t="s">
        <v>472</v>
      </c>
      <c r="E137" t="s">
        <v>711</v>
      </c>
      <c r="F137" t="s">
        <v>585</v>
      </c>
      <c r="G137" t="s">
        <v>432</v>
      </c>
      <c r="H137" s="3">
        <v>700000</v>
      </c>
      <c r="I137" s="3">
        <v>700000</v>
      </c>
      <c r="J137" s="3">
        <v>0</v>
      </c>
      <c r="K137" t="s">
        <v>433</v>
      </c>
      <c r="L137" t="s">
        <v>433</v>
      </c>
      <c r="M137" t="s">
        <v>434</v>
      </c>
      <c r="N137" t="s">
        <v>713</v>
      </c>
    </row>
    <row r="138" spans="1:14" x14ac:dyDescent="0.25">
      <c r="A138" t="s">
        <v>714</v>
      </c>
      <c r="B138">
        <v>2026</v>
      </c>
      <c r="C138" t="s">
        <v>441</v>
      </c>
      <c r="D138" t="s">
        <v>472</v>
      </c>
      <c r="E138" t="s">
        <v>711</v>
      </c>
      <c r="F138" t="s">
        <v>585</v>
      </c>
      <c r="G138" t="s">
        <v>432</v>
      </c>
      <c r="H138" s="3">
        <v>500000</v>
      </c>
      <c r="I138" s="3">
        <v>500000</v>
      </c>
      <c r="J138" s="3">
        <v>0</v>
      </c>
      <c r="K138" t="s">
        <v>433</v>
      </c>
      <c r="L138" t="s">
        <v>433</v>
      </c>
      <c r="M138" t="s">
        <v>434</v>
      </c>
      <c r="N138" t="s">
        <v>351</v>
      </c>
    </row>
    <row r="139" spans="1:14" x14ac:dyDescent="0.25">
      <c r="A139" t="s">
        <v>715</v>
      </c>
      <c r="B139">
        <v>2026</v>
      </c>
      <c r="C139" t="s">
        <v>444</v>
      </c>
      <c r="D139" t="s">
        <v>472</v>
      </c>
      <c r="E139" t="s">
        <v>711</v>
      </c>
      <c r="F139" t="s">
        <v>585</v>
      </c>
      <c r="G139" t="s">
        <v>432</v>
      </c>
      <c r="H139" s="3">
        <v>1000000</v>
      </c>
      <c r="I139" s="3">
        <v>0</v>
      </c>
      <c r="J139" s="3">
        <v>1000000</v>
      </c>
      <c r="K139" t="s">
        <v>445</v>
      </c>
      <c r="L139" t="s">
        <v>445</v>
      </c>
      <c r="M139" t="s">
        <v>523</v>
      </c>
      <c r="N139" t="s">
        <v>524</v>
      </c>
    </row>
    <row r="140" spans="1:14" x14ac:dyDescent="0.25">
      <c r="A140" t="s">
        <v>716</v>
      </c>
      <c r="B140">
        <v>2025</v>
      </c>
      <c r="C140" t="s">
        <v>428</v>
      </c>
      <c r="D140" t="s">
        <v>472</v>
      </c>
      <c r="E140" t="s">
        <v>711</v>
      </c>
      <c r="F140" t="s">
        <v>585</v>
      </c>
      <c r="G140" t="s">
        <v>458</v>
      </c>
      <c r="H140" s="3">
        <v>60000</v>
      </c>
      <c r="I140" s="3">
        <v>60000</v>
      </c>
      <c r="J140" s="3">
        <v>0</v>
      </c>
      <c r="K140" t="s">
        <v>433</v>
      </c>
      <c r="L140" t="s">
        <v>433</v>
      </c>
      <c r="M140" t="s">
        <v>434</v>
      </c>
      <c r="N140" t="s">
        <v>589</v>
      </c>
    </row>
    <row r="141" spans="1:14" x14ac:dyDescent="0.25">
      <c r="A141" t="s">
        <v>717</v>
      </c>
      <c r="B141">
        <v>2026</v>
      </c>
      <c r="C141" t="s">
        <v>441</v>
      </c>
      <c r="D141" t="s">
        <v>574</v>
      </c>
      <c r="E141" t="s">
        <v>718</v>
      </c>
      <c r="F141" t="s">
        <v>719</v>
      </c>
      <c r="G141" t="s">
        <v>438</v>
      </c>
      <c r="H141" s="3">
        <v>2096000</v>
      </c>
      <c r="I141" s="3">
        <v>2096000</v>
      </c>
      <c r="J141" s="3">
        <v>0</v>
      </c>
      <c r="K141" t="s">
        <v>433</v>
      </c>
      <c r="L141" t="s">
        <v>433</v>
      </c>
      <c r="M141" t="s">
        <v>434</v>
      </c>
      <c r="N141" t="s">
        <v>261</v>
      </c>
    </row>
    <row r="142" spans="1:14" x14ac:dyDescent="0.25">
      <c r="A142" t="s">
        <v>720</v>
      </c>
      <c r="B142">
        <v>2026</v>
      </c>
      <c r="C142" t="s">
        <v>444</v>
      </c>
      <c r="D142" t="s">
        <v>574</v>
      </c>
      <c r="E142" t="s">
        <v>718</v>
      </c>
      <c r="F142" t="s">
        <v>719</v>
      </c>
      <c r="G142" t="s">
        <v>432</v>
      </c>
      <c r="H142" s="3">
        <v>318000</v>
      </c>
      <c r="I142" s="3">
        <v>0</v>
      </c>
      <c r="J142" s="3">
        <v>318000</v>
      </c>
      <c r="K142" t="s">
        <v>445</v>
      </c>
      <c r="L142" t="s">
        <v>445</v>
      </c>
      <c r="M142" t="s">
        <v>523</v>
      </c>
      <c r="N142" t="s">
        <v>721</v>
      </c>
    </row>
    <row r="143" spans="1:14" x14ac:dyDescent="0.25">
      <c r="A143" t="s">
        <v>722</v>
      </c>
      <c r="B143">
        <v>2026</v>
      </c>
      <c r="C143" t="s">
        <v>437</v>
      </c>
      <c r="D143" t="s">
        <v>574</v>
      </c>
      <c r="E143" t="s">
        <v>718</v>
      </c>
      <c r="F143" t="s">
        <v>719</v>
      </c>
      <c r="G143" t="s">
        <v>432</v>
      </c>
      <c r="H143" s="3">
        <v>314000</v>
      </c>
      <c r="I143" s="3">
        <v>0</v>
      </c>
      <c r="J143" s="3">
        <v>314000</v>
      </c>
      <c r="K143" t="s">
        <v>445</v>
      </c>
      <c r="L143" t="s">
        <v>445</v>
      </c>
      <c r="M143" t="s">
        <v>449</v>
      </c>
      <c r="N143" t="s">
        <v>723</v>
      </c>
    </row>
    <row r="144" spans="1:14" x14ac:dyDescent="0.25">
      <c r="A144" t="s">
        <v>724</v>
      </c>
      <c r="B144">
        <v>2027</v>
      </c>
      <c r="C144" t="s">
        <v>428</v>
      </c>
      <c r="D144" t="s">
        <v>574</v>
      </c>
      <c r="E144" t="s">
        <v>718</v>
      </c>
      <c r="F144" t="s">
        <v>719</v>
      </c>
      <c r="G144" t="s">
        <v>432</v>
      </c>
      <c r="H144" s="3">
        <v>314000</v>
      </c>
      <c r="I144" s="3">
        <v>0</v>
      </c>
      <c r="J144" s="3">
        <v>314000</v>
      </c>
      <c r="K144" t="s">
        <v>445</v>
      </c>
      <c r="L144" t="s">
        <v>445</v>
      </c>
      <c r="M144" t="s">
        <v>452</v>
      </c>
      <c r="N144" t="s">
        <v>725</v>
      </c>
    </row>
    <row r="145" spans="1:14" x14ac:dyDescent="0.25">
      <c r="A145" t="s">
        <v>726</v>
      </c>
      <c r="B145">
        <v>2027</v>
      </c>
      <c r="C145" t="s">
        <v>441</v>
      </c>
      <c r="D145" t="s">
        <v>574</v>
      </c>
      <c r="E145" t="s">
        <v>718</v>
      </c>
      <c r="F145" t="s">
        <v>719</v>
      </c>
      <c r="G145" t="s">
        <v>432</v>
      </c>
      <c r="H145" s="3">
        <v>314000</v>
      </c>
      <c r="I145" s="3">
        <v>0</v>
      </c>
      <c r="J145" s="3">
        <v>314000</v>
      </c>
      <c r="K145" t="s">
        <v>445</v>
      </c>
      <c r="L145" t="s">
        <v>445</v>
      </c>
      <c r="M145" t="s">
        <v>455</v>
      </c>
      <c r="N145" t="s">
        <v>727</v>
      </c>
    </row>
    <row r="146" spans="1:14" x14ac:dyDescent="0.25">
      <c r="A146" t="s">
        <v>728</v>
      </c>
      <c r="B146">
        <v>2027</v>
      </c>
      <c r="C146" t="s">
        <v>444</v>
      </c>
      <c r="D146" t="s">
        <v>574</v>
      </c>
      <c r="E146" t="s">
        <v>718</v>
      </c>
      <c r="F146" t="s">
        <v>719</v>
      </c>
      <c r="G146" t="s">
        <v>432</v>
      </c>
      <c r="H146" s="3">
        <v>314000</v>
      </c>
      <c r="I146" s="3">
        <v>0</v>
      </c>
      <c r="J146" s="3">
        <v>314000</v>
      </c>
      <c r="K146" t="s">
        <v>445</v>
      </c>
      <c r="L146" t="s">
        <v>445</v>
      </c>
      <c r="M146" t="s">
        <v>497</v>
      </c>
      <c r="N146" t="s">
        <v>702</v>
      </c>
    </row>
    <row r="147" spans="1:14" x14ac:dyDescent="0.25">
      <c r="A147" t="s">
        <v>729</v>
      </c>
      <c r="B147">
        <v>2027</v>
      </c>
      <c r="C147" t="s">
        <v>437</v>
      </c>
      <c r="D147" t="s">
        <v>574</v>
      </c>
      <c r="E147" t="s">
        <v>718</v>
      </c>
      <c r="F147" t="s">
        <v>719</v>
      </c>
      <c r="G147" t="s">
        <v>432</v>
      </c>
      <c r="H147" s="3">
        <v>314000</v>
      </c>
      <c r="I147" s="3">
        <v>0</v>
      </c>
      <c r="J147" s="3">
        <v>314000</v>
      </c>
      <c r="K147" t="s">
        <v>445</v>
      </c>
      <c r="L147" t="s">
        <v>445</v>
      </c>
      <c r="M147" t="s">
        <v>500</v>
      </c>
      <c r="N147" t="s">
        <v>730</v>
      </c>
    </row>
    <row r="148" spans="1:14" x14ac:dyDescent="0.25">
      <c r="A148" t="s">
        <v>731</v>
      </c>
      <c r="B148">
        <v>2028</v>
      </c>
      <c r="C148" t="s">
        <v>428</v>
      </c>
      <c r="D148" t="s">
        <v>574</v>
      </c>
      <c r="E148" t="s">
        <v>718</v>
      </c>
      <c r="F148" t="s">
        <v>719</v>
      </c>
      <c r="G148" t="s">
        <v>432</v>
      </c>
      <c r="H148" s="3">
        <v>314000</v>
      </c>
      <c r="I148" s="3">
        <v>0</v>
      </c>
      <c r="J148" s="3">
        <v>314000</v>
      </c>
      <c r="K148" t="s">
        <v>445</v>
      </c>
      <c r="L148" t="s">
        <v>445</v>
      </c>
      <c r="M148" t="s">
        <v>653</v>
      </c>
      <c r="N148" t="s">
        <v>732</v>
      </c>
    </row>
    <row r="149" spans="1:14" x14ac:dyDescent="0.25">
      <c r="A149" t="s">
        <v>733</v>
      </c>
      <c r="B149">
        <v>2028</v>
      </c>
      <c r="C149" t="s">
        <v>441</v>
      </c>
      <c r="D149" t="s">
        <v>574</v>
      </c>
      <c r="E149" t="s">
        <v>718</v>
      </c>
      <c r="F149" t="s">
        <v>719</v>
      </c>
      <c r="G149" t="s">
        <v>432</v>
      </c>
      <c r="H149" s="3">
        <v>314000</v>
      </c>
      <c r="I149" s="3">
        <v>0</v>
      </c>
      <c r="J149" s="3">
        <v>314000</v>
      </c>
      <c r="K149" t="s">
        <v>445</v>
      </c>
      <c r="L149" t="s">
        <v>445</v>
      </c>
      <c r="M149" t="s">
        <v>656</v>
      </c>
      <c r="N149" t="s">
        <v>734</v>
      </c>
    </row>
    <row r="150" spans="1:14" x14ac:dyDescent="0.25">
      <c r="A150" t="s">
        <v>735</v>
      </c>
      <c r="B150">
        <v>2028</v>
      </c>
      <c r="C150" t="s">
        <v>444</v>
      </c>
      <c r="D150" t="s">
        <v>574</v>
      </c>
      <c r="E150" t="s">
        <v>718</v>
      </c>
      <c r="F150" t="s">
        <v>719</v>
      </c>
      <c r="G150" t="s">
        <v>432</v>
      </c>
      <c r="H150" s="3">
        <v>314000</v>
      </c>
      <c r="I150" s="3">
        <v>0</v>
      </c>
      <c r="J150" s="3">
        <v>314000</v>
      </c>
      <c r="K150" t="s">
        <v>445</v>
      </c>
      <c r="L150" t="s">
        <v>445</v>
      </c>
      <c r="M150" t="s">
        <v>681</v>
      </c>
      <c r="N150" t="s">
        <v>736</v>
      </c>
    </row>
    <row r="151" spans="1:14" x14ac:dyDescent="0.25">
      <c r="A151" t="s">
        <v>737</v>
      </c>
      <c r="B151">
        <v>2028</v>
      </c>
      <c r="C151" t="s">
        <v>437</v>
      </c>
      <c r="D151" t="s">
        <v>574</v>
      </c>
      <c r="E151" t="s">
        <v>718</v>
      </c>
      <c r="F151" t="s">
        <v>719</v>
      </c>
      <c r="G151" t="s">
        <v>432</v>
      </c>
      <c r="H151" s="3">
        <v>314000</v>
      </c>
      <c r="I151" s="3">
        <v>0</v>
      </c>
      <c r="J151" s="3">
        <v>314000</v>
      </c>
      <c r="K151" t="s">
        <v>445</v>
      </c>
      <c r="L151" t="s">
        <v>445</v>
      </c>
      <c r="M151" t="s">
        <v>738</v>
      </c>
      <c r="N151" t="s">
        <v>739</v>
      </c>
    </row>
    <row r="152" spans="1:14" x14ac:dyDescent="0.25">
      <c r="A152" t="s">
        <v>740</v>
      </c>
      <c r="B152">
        <v>2028</v>
      </c>
      <c r="C152" t="s">
        <v>441</v>
      </c>
      <c r="D152" t="s">
        <v>574</v>
      </c>
      <c r="E152" t="s">
        <v>718</v>
      </c>
      <c r="F152" t="s">
        <v>719</v>
      </c>
      <c r="G152" t="s">
        <v>458</v>
      </c>
      <c r="H152" s="3">
        <v>209600</v>
      </c>
      <c r="I152" s="3">
        <v>209600</v>
      </c>
      <c r="J152" s="3">
        <v>0</v>
      </c>
      <c r="K152" t="s">
        <v>433</v>
      </c>
      <c r="L152" t="s">
        <v>433</v>
      </c>
      <c r="M152" t="s">
        <v>434</v>
      </c>
      <c r="N152" t="s">
        <v>741</v>
      </c>
    </row>
    <row r="153" spans="1:14" x14ac:dyDescent="0.25">
      <c r="A153" t="s">
        <v>742</v>
      </c>
      <c r="B153">
        <v>2026</v>
      </c>
      <c r="C153" t="s">
        <v>437</v>
      </c>
      <c r="D153" t="s">
        <v>574</v>
      </c>
      <c r="E153" t="s">
        <v>718</v>
      </c>
      <c r="F153" t="s">
        <v>719</v>
      </c>
      <c r="G153" t="s">
        <v>458</v>
      </c>
      <c r="H153" s="3">
        <v>209600</v>
      </c>
      <c r="I153" s="3">
        <v>0</v>
      </c>
      <c r="J153" s="3">
        <v>209600</v>
      </c>
      <c r="K153" t="s">
        <v>445</v>
      </c>
      <c r="L153" t="s">
        <v>445</v>
      </c>
      <c r="M153" t="s">
        <v>449</v>
      </c>
      <c r="N153" t="s">
        <v>723</v>
      </c>
    </row>
    <row r="154" spans="1:14" x14ac:dyDescent="0.25">
      <c r="A154" t="s">
        <v>743</v>
      </c>
      <c r="B154">
        <v>2026</v>
      </c>
      <c r="C154" t="s">
        <v>441</v>
      </c>
      <c r="D154" t="s">
        <v>472</v>
      </c>
      <c r="E154" t="s">
        <v>536</v>
      </c>
      <c r="F154" t="s">
        <v>537</v>
      </c>
      <c r="G154" t="s">
        <v>432</v>
      </c>
      <c r="H154" s="3">
        <v>85500</v>
      </c>
      <c r="I154" s="3">
        <v>85500</v>
      </c>
      <c r="J154" s="3">
        <v>0</v>
      </c>
      <c r="K154" t="s">
        <v>433</v>
      </c>
      <c r="L154" t="s">
        <v>433</v>
      </c>
      <c r="M154" t="s">
        <v>434</v>
      </c>
      <c r="N154" t="s">
        <v>540</v>
      </c>
    </row>
    <row r="155" spans="1:14" x14ac:dyDescent="0.25">
      <c r="A155" t="s">
        <v>744</v>
      </c>
      <c r="B155">
        <v>2026</v>
      </c>
      <c r="C155" t="s">
        <v>441</v>
      </c>
      <c r="D155" t="s">
        <v>574</v>
      </c>
      <c r="E155" t="s">
        <v>745</v>
      </c>
      <c r="F155" t="s">
        <v>746</v>
      </c>
      <c r="G155" t="s">
        <v>438</v>
      </c>
      <c r="H155" s="3">
        <v>3311000</v>
      </c>
      <c r="I155" s="3">
        <v>3311000</v>
      </c>
      <c r="J155" s="3">
        <v>0</v>
      </c>
      <c r="K155" t="s">
        <v>433</v>
      </c>
      <c r="L155" t="s">
        <v>433</v>
      </c>
      <c r="M155" t="s">
        <v>434</v>
      </c>
      <c r="N155" t="s">
        <v>747</v>
      </c>
    </row>
    <row r="156" spans="1:14" x14ac:dyDescent="0.25">
      <c r="A156" t="s">
        <v>748</v>
      </c>
      <c r="B156">
        <v>2028</v>
      </c>
      <c r="C156" t="s">
        <v>441</v>
      </c>
      <c r="D156" t="s">
        <v>574</v>
      </c>
      <c r="E156" t="s">
        <v>745</v>
      </c>
      <c r="F156" t="s">
        <v>746</v>
      </c>
      <c r="G156" t="s">
        <v>458</v>
      </c>
      <c r="H156" s="3">
        <v>198660</v>
      </c>
      <c r="I156" s="3">
        <v>198660</v>
      </c>
      <c r="J156" s="3">
        <v>0</v>
      </c>
      <c r="K156" t="s">
        <v>433</v>
      </c>
      <c r="L156" t="s">
        <v>433</v>
      </c>
      <c r="M156" t="s">
        <v>434</v>
      </c>
      <c r="N156" t="s">
        <v>749</v>
      </c>
    </row>
    <row r="157" spans="1:14" x14ac:dyDescent="0.25">
      <c r="A157" t="s">
        <v>750</v>
      </c>
      <c r="B157">
        <v>2026</v>
      </c>
      <c r="C157" t="s">
        <v>441</v>
      </c>
      <c r="D157" t="s">
        <v>574</v>
      </c>
      <c r="E157" t="s">
        <v>751</v>
      </c>
      <c r="F157" t="s">
        <v>746</v>
      </c>
      <c r="G157" t="s">
        <v>432</v>
      </c>
      <c r="H157" s="3">
        <v>1000000</v>
      </c>
      <c r="I157" s="3">
        <v>1000000</v>
      </c>
      <c r="J157" s="3">
        <v>0</v>
      </c>
      <c r="K157" t="s">
        <v>433</v>
      </c>
      <c r="L157" t="s">
        <v>433</v>
      </c>
      <c r="M157" t="s">
        <v>434</v>
      </c>
      <c r="N157" t="s">
        <v>619</v>
      </c>
    </row>
    <row r="158" spans="1:14" x14ac:dyDescent="0.25">
      <c r="A158" t="s">
        <v>752</v>
      </c>
      <c r="B158">
        <v>2026</v>
      </c>
      <c r="C158" t="s">
        <v>441</v>
      </c>
      <c r="D158" t="s">
        <v>574</v>
      </c>
      <c r="E158" t="s">
        <v>751</v>
      </c>
      <c r="F158" t="s">
        <v>746</v>
      </c>
      <c r="G158" t="s">
        <v>438</v>
      </c>
      <c r="H158" s="3">
        <v>2221000</v>
      </c>
      <c r="I158" s="3">
        <v>2221000</v>
      </c>
      <c r="J158" s="3">
        <v>0</v>
      </c>
      <c r="K158" t="s">
        <v>433</v>
      </c>
      <c r="L158" t="s">
        <v>433</v>
      </c>
      <c r="M158" t="s">
        <v>434</v>
      </c>
      <c r="N158" t="s">
        <v>289</v>
      </c>
    </row>
    <row r="159" spans="1:14" x14ac:dyDescent="0.25">
      <c r="A159" t="s">
        <v>753</v>
      </c>
      <c r="B159">
        <v>2026</v>
      </c>
      <c r="C159" t="s">
        <v>444</v>
      </c>
      <c r="D159" t="s">
        <v>574</v>
      </c>
      <c r="E159" t="s">
        <v>751</v>
      </c>
      <c r="F159" t="s">
        <v>746</v>
      </c>
      <c r="G159" t="s">
        <v>432</v>
      </c>
      <c r="H159" s="3">
        <v>268000</v>
      </c>
      <c r="I159" s="3">
        <v>0</v>
      </c>
      <c r="J159" s="3">
        <v>268000</v>
      </c>
      <c r="K159" t="s">
        <v>445</v>
      </c>
      <c r="L159" t="s">
        <v>445</v>
      </c>
      <c r="M159" t="s">
        <v>446</v>
      </c>
      <c r="N159" t="s">
        <v>754</v>
      </c>
    </row>
    <row r="160" spans="1:14" x14ac:dyDescent="0.25">
      <c r="A160" t="s">
        <v>755</v>
      </c>
      <c r="B160">
        <v>2028</v>
      </c>
      <c r="C160" t="s">
        <v>441</v>
      </c>
      <c r="D160" t="s">
        <v>574</v>
      </c>
      <c r="E160" t="s">
        <v>751</v>
      </c>
      <c r="F160" t="s">
        <v>746</v>
      </c>
      <c r="G160" t="s">
        <v>458</v>
      </c>
      <c r="H160" s="3">
        <v>279120</v>
      </c>
      <c r="I160" s="3">
        <v>279120</v>
      </c>
      <c r="J160" s="3">
        <v>0</v>
      </c>
      <c r="K160" t="s">
        <v>433</v>
      </c>
      <c r="L160" t="s">
        <v>433</v>
      </c>
      <c r="M160" t="s">
        <v>434</v>
      </c>
      <c r="N160" t="s">
        <v>756</v>
      </c>
    </row>
    <row r="161" spans="1:14" s="6" customFormat="1" x14ac:dyDescent="0.25">
      <c r="A161" s="6" t="s">
        <v>24</v>
      </c>
      <c r="B161" s="6" t="s">
        <v>24</v>
      </c>
      <c r="C161" s="6" t="s">
        <v>24</v>
      </c>
      <c r="D161" s="6" t="s">
        <v>24</v>
      </c>
      <c r="E161" s="6" t="s">
        <v>24</v>
      </c>
      <c r="F161" s="6" t="s">
        <v>24</v>
      </c>
      <c r="G161" s="6" t="s">
        <v>389</v>
      </c>
      <c r="H161" s="26">
        <f>SUBTOTAL(109,H8:H160)</f>
      </c>
      <c r="I161" s="26">
        <f>SUBTOTAL(109,I8:I160)</f>
      </c>
      <c r="J161" s="26">
        <f>SUBTOTAL(109,J8:J160)</f>
      </c>
      <c r="K161" s="6" t="s">
        <v>24</v>
      </c>
      <c r="L161" s="6" t="s">
        <v>24</v>
      </c>
      <c r="M161" s="6" t="s">
        <v>24</v>
      </c>
      <c r="N161" s="6" t="s">
        <v>24</v>
      </c>
    </row>
  </sheetData>
  <autoFilter ref="A7:N7"/>
  <mergeCells count="1">
    <mergeCell ref="A6:N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المصاريف</vt:lpstr>
      <vt:lpstr>المصاريف التشغيلية</vt:lpstr>
      <vt:lpstr>الإيرادات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Golden Land System</dc:creator>
  <dc:title/>
  <dc:subject/>
  <dc:description/>
  <cp:keywords/>
  <cp:category/>
  <cp:lastModifiedBy>Unknown</cp:lastModifiedBy>
  <dcterms:created xsi:type="dcterms:W3CDTF">2026-06-25T07:52:48Z</dcterms:created>
  <dcterms:modified xsi:type="dcterms:W3CDTF">2026-06-25T07:52:48Z</dcterms:modified>
</cp:coreProperties>
</file>