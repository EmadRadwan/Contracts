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eature Inventory" sheetId="1" r:id="rId4"/>
    <sheet name="Charts" sheetId="2" r:id="rId5"/>
  </sheets>
</workbook>
</file>

<file path=xl/sharedStrings.xml><?xml version="1.0" encoding="utf-8"?>
<sst xmlns="http://schemas.openxmlformats.org/spreadsheetml/2006/main" uniqueCount="600">
  <si>
    <t>ID</t>
  </si>
  <si>
    <t>Domain</t>
  </si>
  <si>
    <t>Module</t>
  </si>
  <si>
    <t>Sub-feature</t>
  </si>
  <si>
    <t>Feature / Workflow</t>
  </si>
  <si>
    <t>Artifact Type</t>
  </si>
  <si>
    <t>Completion Status</t>
  </si>
  <si>
    <t>FIN026</t>
  </si>
  <si>
    <t>Financial</t>
  </si>
  <si>
    <t>AP</t>
  </si>
  <si>
    <t>Invoice Processing</t>
  </si>
  <si>
    <t>Purchase invoice entry</t>
  </si>
  <si>
    <t>Screen</t>
  </si>
  <si>
    <t>Completed</t>
  </si>
  <si>
    <t>FIN037</t>
  </si>
  <si>
    <t>Payment Processing</t>
  </si>
  <si>
    <t>Outgoing payment entry</t>
  </si>
  <si>
    <t>FIN041</t>
  </si>
  <si>
    <t>Payment groups and check runs</t>
  </si>
  <si>
    <t>Batch</t>
  </si>
  <si>
    <t>FIN042</t>
  </si>
  <si>
    <t>Payment methods per party</t>
  </si>
  <si>
    <t>Configuration</t>
  </si>
  <si>
    <t>FIN032</t>
  </si>
  <si>
    <t>Payroll</t>
  </si>
  <si>
    <t>Payroll invoice batch creation</t>
  </si>
  <si>
    <t>FIN054</t>
  </si>
  <si>
    <t>AR</t>
  </si>
  <si>
    <t>Billing Accounts</t>
  </si>
  <si>
    <t>Billing account maintenance</t>
  </si>
  <si>
    <t>FIN055</t>
  </si>
  <si>
    <t>Billing account balance</t>
  </si>
  <si>
    <t>Report</t>
  </si>
  <si>
    <t>FIN056</t>
  </si>
  <si>
    <t>Billing account invoices, payments and orders</t>
  </si>
  <si>
    <t>FIN025</t>
  </si>
  <si>
    <t>Sales invoice entry</t>
  </si>
  <si>
    <t>FIN027</t>
  </si>
  <si>
    <t>Invoice item maintenance</t>
  </si>
  <si>
    <t>FIN028</t>
  </si>
  <si>
    <t>Invoice status workflow</t>
  </si>
  <si>
    <t>Workflow</t>
  </si>
  <si>
    <t>FIN029</t>
  </si>
  <si>
    <t>Invoice total calculation</t>
  </si>
  <si>
    <t>API</t>
  </si>
  <si>
    <t>FIN030</t>
  </si>
  <si>
    <t>Invoice listing and search</t>
  </si>
  <si>
    <t>FIN031</t>
  </si>
  <si>
    <t>Invoice generation from shipments</t>
  </si>
  <si>
    <t>FIN036</t>
  </si>
  <si>
    <t>Incoming payment entry</t>
  </si>
  <si>
    <t>FIN038</t>
  </si>
  <si>
    <t>Payment application to invoices</t>
  </si>
  <si>
    <t>FIN039</t>
  </si>
  <si>
    <t>Combined payment and application</t>
  </si>
  <si>
    <t>FIN040</t>
  </si>
  <si>
    <t>Payment status workflow</t>
  </si>
  <si>
    <t>FIN043</t>
  </si>
  <si>
    <t>Payment report PDF</t>
  </si>
  <si>
    <t>FIN044</t>
  </si>
  <si>
    <t>Payments due status tracking</t>
  </si>
  <si>
    <t>FIN045</t>
  </si>
  <si>
    <t>Offline payment receipt</t>
  </si>
  <si>
    <t>FIN046</t>
  </si>
  <si>
    <t>Installment payment accounting</t>
  </si>
  <si>
    <t>FIN047</t>
  </si>
  <si>
    <t>Cheque recording</t>
  </si>
  <si>
    <t>FIN048</t>
  </si>
  <si>
    <t>Bank reconciliation</t>
  </si>
  <si>
    <t>Planned</t>
  </si>
  <si>
    <t>FIN062</t>
  </si>
  <si>
    <t>Assets</t>
  </si>
  <si>
    <t>Fixed Assets</t>
  </si>
  <si>
    <t>Fixed asset register</t>
  </si>
  <si>
    <t>FIN063</t>
  </si>
  <si>
    <t>Fixed asset standard costs</t>
  </si>
  <si>
    <t>FIN064</t>
  </si>
  <si>
    <t>Depreciation schedules and runs</t>
  </si>
  <si>
    <t>FIN070</t>
  </si>
  <si>
    <t>Contracts</t>
  </si>
  <si>
    <t>Agreements</t>
  </si>
  <si>
    <t>Agreement register</t>
  </si>
  <si>
    <t>FIN071</t>
  </si>
  <si>
    <t>Agreement items and terms</t>
  </si>
  <si>
    <t>FIN065</t>
  </si>
  <si>
    <t>Costing</t>
  </si>
  <si>
    <t>Cost Centers</t>
  </si>
  <si>
    <t>Cost center maintenance</t>
  </si>
  <si>
    <t>FIN066</t>
  </si>
  <si>
    <t>Product Costing</t>
  </si>
  <si>
    <t>Product cost components</t>
  </si>
  <si>
    <t>FIN067</t>
  </si>
  <si>
    <t>Cost component calculations</t>
  </si>
  <si>
    <t>FIN068</t>
  </si>
  <si>
    <t>Material cost configuration</t>
  </si>
  <si>
    <t>FIN069</t>
  </si>
  <si>
    <t>Routing task and fixed asset costs</t>
  </si>
  <si>
    <t>FIN001</t>
  </si>
  <si>
    <t>GL</t>
  </si>
  <si>
    <t>Chart of Accounts</t>
  </si>
  <si>
    <t>Global chart of accounts maintenance</t>
  </si>
  <si>
    <t>FIN002</t>
  </si>
  <si>
    <t>GL account hierarchy and sub-class navigation</t>
  </si>
  <si>
    <t>FIN003</t>
  </si>
  <si>
    <t>Organization-level COA assignment</t>
  </si>
  <si>
    <t>FIN004</t>
  </si>
  <si>
    <t>GL account type defaults</t>
  </si>
  <si>
    <t>FIN005</t>
  </si>
  <si>
    <t>Party / product / category GL overrides</t>
  </si>
  <si>
    <t>FIN006</t>
  </si>
  <si>
    <t>Journal Entries</t>
  </si>
  <si>
    <t>Manual accounting transaction entry</t>
  </si>
  <si>
    <t>FIN007</t>
  </si>
  <si>
    <t>Post / unpost transactions</t>
  </si>
  <si>
    <t>FIN008</t>
  </si>
  <si>
    <t>Multi-line journal create and update</t>
  </si>
  <si>
    <t>FIN009</t>
  </si>
  <si>
    <t>Duplicate transaction</t>
  </si>
  <si>
    <t>FIN010</t>
  </si>
  <si>
    <t>Opening / initial balance transactions</t>
  </si>
  <si>
    <t>FIN011</t>
  </si>
  <si>
    <t>Transaction listing and drill-down by date range</t>
  </si>
  <si>
    <t>FIN072</t>
  </si>
  <si>
    <t>Multi-currency</t>
  </si>
  <si>
    <t>Foreign exchange rates</t>
  </si>
  <si>
    <t>FIN012</t>
  </si>
  <si>
    <t>Period Close</t>
  </si>
  <si>
    <t>Financial time period close</t>
  </si>
  <si>
    <t>FIN013</t>
  </si>
  <si>
    <t>Reporting</t>
  </si>
  <si>
    <t>Trial balance report</t>
  </si>
  <si>
    <t>FIN014</t>
  </si>
  <si>
    <t>Balance sheet and comparative balance sheet</t>
  </si>
  <si>
    <t>FIN015</t>
  </si>
  <si>
    <t>Income statement and comparative</t>
  </si>
  <si>
    <t>FIN016</t>
  </si>
  <si>
    <t>Cash flow statement</t>
  </si>
  <si>
    <t>FIN017</t>
  </si>
  <si>
    <t>Transaction totals report</t>
  </si>
  <si>
    <t>FIN018</t>
  </si>
  <si>
    <t>Inventory valuation report</t>
  </si>
  <si>
    <t>FIN019</t>
  </si>
  <si>
    <t>GL account transaction detail drill-down</t>
  </si>
  <si>
    <t>FIN020</t>
  </si>
  <si>
    <t>Party financial history and sub-ledger</t>
  </si>
  <si>
    <t>FIN021</t>
  </si>
  <si>
    <t>GL account diagram</t>
  </si>
  <si>
    <t>FIN022</t>
  </si>
  <si>
    <t>Company report</t>
  </si>
  <si>
    <t>FIN058</t>
  </si>
  <si>
    <t>Tax</t>
  </si>
  <si>
    <t>Tax Calculation</t>
  </si>
  <si>
    <t>Tax calculation on sales orders</t>
  </si>
  <si>
    <t>FIN059</t>
  </si>
  <si>
    <t>Tax calculation on quotes</t>
  </si>
  <si>
    <t>FIN057</t>
  </si>
  <si>
    <t>Tax Setup</t>
  </si>
  <si>
    <t>Tax authority configuration</t>
  </si>
  <si>
    <t>FIN060</t>
  </si>
  <si>
    <t>Tax authority rate products</t>
  </si>
  <si>
    <t>FIN050</t>
  </si>
  <si>
    <t>Treasury</t>
  </si>
  <si>
    <t>Financial Accounts</t>
  </si>
  <si>
    <t>Financial account register</t>
  </si>
  <si>
    <t>FIN051</t>
  </si>
  <si>
    <t>Deposits and withdrawals</t>
  </si>
  <si>
    <t>FIN052</t>
  </si>
  <si>
    <t>FinAccount transactions and totals</t>
  </si>
  <si>
    <t>FIN053</t>
  </si>
  <si>
    <t>Post FinAccount transactions to GL</t>
  </si>
  <si>
    <t>ORD024</t>
  </si>
  <si>
    <t>Order Management</t>
  </si>
  <si>
    <t>Customer Requests</t>
  </si>
  <si>
    <t>Requests</t>
  </si>
  <si>
    <t>Customer request listing</t>
  </si>
  <si>
    <t>ORD023</t>
  </si>
  <si>
    <t>Job Orders</t>
  </si>
  <si>
    <t>Job order register</t>
  </si>
  <si>
    <t>ORD029</t>
  </si>
  <si>
    <t>Promotions</t>
  </si>
  <si>
    <t>Order item promotion application</t>
  </si>
  <si>
    <t>ORD030</t>
  </si>
  <si>
    <t>Quote item promotion discount</t>
  </si>
  <si>
    <t>ORD020</t>
  </si>
  <si>
    <t>Quotes</t>
  </si>
  <si>
    <t>Approval</t>
  </si>
  <si>
    <t>Quote approval</t>
  </si>
  <si>
    <t>ORD021</t>
  </si>
  <si>
    <t>Conversion</t>
  </si>
  <si>
    <t>Quote to job order conversion</t>
  </si>
  <si>
    <t>ORD017</t>
  </si>
  <si>
    <t>Quotation</t>
  </si>
  <si>
    <t>Quote entry</t>
  </si>
  <si>
    <t>ORD018</t>
  </si>
  <si>
    <t>Quote items</t>
  </si>
  <si>
    <t>ORD019</t>
  </si>
  <si>
    <t>Quote adjustments</t>
  </si>
  <si>
    <t>ORD013</t>
  </si>
  <si>
    <t>Returns</t>
  </si>
  <si>
    <t>RMA</t>
  </si>
  <si>
    <t>Return authorization header</t>
  </si>
  <si>
    <t>ORD014</t>
  </si>
  <si>
    <t>Returnable item determination</t>
  </si>
  <si>
    <t>ORD015</t>
  </si>
  <si>
    <t>Return item processing and adjustments</t>
  </si>
  <si>
    <t>ORD016</t>
  </si>
  <si>
    <t>Return listing and status</t>
  </si>
  <si>
    <t>ORD004</t>
  </si>
  <si>
    <t>Sales Orders</t>
  </si>
  <si>
    <t>Sales order approval workflow</t>
  </si>
  <si>
    <t>ORD008</t>
  </si>
  <si>
    <t>Fulfilment</t>
  </si>
  <si>
    <t>Quick ship sales order</t>
  </si>
  <si>
    <t>ORD011</t>
  </si>
  <si>
    <t>Back-ordered quantity tracking</t>
  </si>
  <si>
    <t>ORD001</t>
  </si>
  <si>
    <t>Order Entry</t>
  </si>
  <si>
    <t>Sales order entry</t>
  </si>
  <si>
    <t>ORD002</t>
  </si>
  <si>
    <t>Sales order item maintenance</t>
  </si>
  <si>
    <t>ORD003</t>
  </si>
  <si>
    <t>Sales order adjustments</t>
  </si>
  <si>
    <t>ORD005</t>
  </si>
  <si>
    <t>Sales order listing and search</t>
  </si>
  <si>
    <t>ORD006</t>
  </si>
  <si>
    <t>Order summary and totals</t>
  </si>
  <si>
    <t>ORD007</t>
  </si>
  <si>
    <t>Order terms</t>
  </si>
  <si>
    <t>ORD012</t>
  </si>
  <si>
    <t>Orders by party</t>
  </si>
  <si>
    <t>ORD009</t>
  </si>
  <si>
    <t>Payment</t>
  </si>
  <si>
    <t>Order payment preferences</t>
  </si>
  <si>
    <t>ORD010</t>
  </si>
  <si>
    <t>Complete sales order payments</t>
  </si>
  <si>
    <t>ORD025</t>
  </si>
  <si>
    <t>Sales Requests</t>
  </si>
  <si>
    <t>Real Estate</t>
  </si>
  <si>
    <t>Sales request register</t>
  </si>
  <si>
    <t>ORD026</t>
  </si>
  <si>
    <t>Installment price calculation</t>
  </si>
  <si>
    <t>ORD027</t>
  </si>
  <si>
    <t>Installment schedule</t>
  </si>
  <si>
    <t>ORD028</t>
  </si>
  <si>
    <t>Apartment reservation</t>
  </si>
  <si>
    <t>PRC002</t>
  </si>
  <si>
    <t>Procurement</t>
  </si>
  <si>
    <t>Purchase Orders</t>
  </si>
  <si>
    <t>Purchase order approval</t>
  </si>
  <si>
    <t>PRC007</t>
  </si>
  <si>
    <t>Construction</t>
  </si>
  <si>
    <t>Workman certificate purchase order</t>
  </si>
  <si>
    <t>PRC001</t>
  </si>
  <si>
    <t>Purchase order entry</t>
  </si>
  <si>
    <t>PRC003</t>
  </si>
  <si>
    <t>Purchase order listing</t>
  </si>
  <si>
    <t>PRC004</t>
  </si>
  <si>
    <t>Receiving</t>
  </si>
  <si>
    <t>Purchase order items for receiving</t>
  </si>
  <si>
    <t>PRC005</t>
  </si>
  <si>
    <t>Quick receive purchase order</t>
  </si>
  <si>
    <t>PRC006</t>
  </si>
  <si>
    <t>Receive inventory from purchase order</t>
  </si>
  <si>
    <t>PRC008</t>
  </si>
  <si>
    <t>Vendors</t>
  </si>
  <si>
    <t>Supplier Data</t>
  </si>
  <si>
    <t>Product supplier maintenance</t>
  </si>
  <si>
    <t>INV001</t>
  </si>
  <si>
    <t>Inventory</t>
  </si>
  <si>
    <t>Facilities</t>
  </si>
  <si>
    <t>Setup</t>
  </si>
  <si>
    <t>Facility maintenance</t>
  </si>
  <si>
    <t>INV002</t>
  </si>
  <si>
    <t>Facility locations</t>
  </si>
  <si>
    <t>INV008</t>
  </si>
  <si>
    <t>Counting</t>
  </si>
  <si>
    <t>Physical inventory and variance</t>
  </si>
  <si>
    <t>INV009</t>
  </si>
  <si>
    <t>Variance reasons</t>
  </si>
  <si>
    <t>INV003</t>
  </si>
  <si>
    <t>Items</t>
  </si>
  <si>
    <t>Inventory item create and update</t>
  </si>
  <si>
    <t>INV004</t>
  </si>
  <si>
    <t>Inventory by product and facility</t>
  </si>
  <si>
    <t>INV005</t>
  </si>
  <si>
    <t>Quantity on hand and totals</t>
  </si>
  <si>
    <t>INV006</t>
  </si>
  <si>
    <t>Inventory available by facility</t>
  </si>
  <si>
    <t>INV010</t>
  </si>
  <si>
    <t>Movement</t>
  </si>
  <si>
    <t>Inventory transfer</t>
  </si>
  <si>
    <t>INV018</t>
  </si>
  <si>
    <t>Reservation</t>
  </si>
  <si>
    <t>Inventory reservations</t>
  </si>
  <si>
    <t>INV017</t>
  </si>
  <si>
    <t>Product-facility assignment</t>
  </si>
  <si>
    <t>INV007</t>
  </si>
  <si>
    <t>Traceability</t>
  </si>
  <si>
    <t>Lot and serial tracking</t>
  </si>
  <si>
    <t>INV019</t>
  </si>
  <si>
    <t>Warehouse</t>
  </si>
  <si>
    <t>Barcode</t>
  </si>
  <si>
    <t>Barcode-driven warehouse operations</t>
  </si>
  <si>
    <t>Mobile</t>
  </si>
  <si>
    <t>Under Development</t>
  </si>
  <si>
    <t>INV014</t>
  </si>
  <si>
    <t>Packing</t>
  </si>
  <si>
    <t>Packing session</t>
  </si>
  <si>
    <t>INV015</t>
  </si>
  <si>
    <t>Bulk item packing</t>
  </si>
  <si>
    <t>INV011</t>
  </si>
  <si>
    <t>Picking</t>
  </si>
  <si>
    <t>Picklist creation from orders</t>
  </si>
  <si>
    <t>INV012</t>
  </si>
  <si>
    <t>Picklist maintenance and bins</t>
  </si>
  <si>
    <t>INV013</t>
  </si>
  <si>
    <t>Stock moves needed analysis</t>
  </si>
  <si>
    <t>INV016</t>
  </si>
  <si>
    <t>Rush order handling</t>
  </si>
  <si>
    <t>SHP002</t>
  </si>
  <si>
    <t>Logistics</t>
  </si>
  <si>
    <t>Shipments</t>
  </si>
  <si>
    <t>Inbound</t>
  </si>
  <si>
    <t>Shipment receipts</t>
  </si>
  <si>
    <t>SHP001</t>
  </si>
  <si>
    <t>Outbound</t>
  </si>
  <si>
    <t>Shipment creation</t>
  </si>
  <si>
    <t>SHP003</t>
  </si>
  <si>
    <t>Issue order item to shipment</t>
  </si>
  <si>
    <t>SHP004</t>
  </si>
  <si>
    <t>Ship group and facility association</t>
  </si>
  <si>
    <t>MFG001</t>
  </si>
  <si>
    <t>Manufacturing</t>
  </si>
  <si>
    <t>Engineering</t>
  </si>
  <si>
    <t>BOM</t>
  </si>
  <si>
    <t>Bill of materials maintenance</t>
  </si>
  <si>
    <t>MFG002</t>
  </si>
  <si>
    <t>Multi-level BOM explosion</t>
  </si>
  <si>
    <t>MFG003</t>
  </si>
  <si>
    <t>Simulated BOM cost</t>
  </si>
  <si>
    <t>MFG004</t>
  </si>
  <si>
    <t>Routing</t>
  </si>
  <si>
    <t>Routing maintenance</t>
  </si>
  <si>
    <t>MFG005</t>
  </si>
  <si>
    <t>Routing task maintenance</t>
  </si>
  <si>
    <t>MFG006</t>
  </si>
  <si>
    <t>Routing task associations</t>
  </si>
  <si>
    <t>MFG017</t>
  </si>
  <si>
    <t>Production</t>
  </si>
  <si>
    <t>Cost component maintenance</t>
  </si>
  <si>
    <t>MFG018</t>
  </si>
  <si>
    <t>Work effort cost calculations</t>
  </si>
  <si>
    <t>MFG019</t>
  </si>
  <si>
    <t>Direct labour and factory overhead calculations</t>
  </si>
  <si>
    <t>MFG020</t>
  </si>
  <si>
    <t>BOM inventory items</t>
  </si>
  <si>
    <t>MFG011</t>
  </si>
  <si>
    <t>Materials</t>
  </si>
  <si>
    <t>Issue components to a run</t>
  </si>
  <si>
    <t>MFG012</t>
  </si>
  <si>
    <t>Reserve BOM items</t>
  </si>
  <si>
    <t>MFG014</t>
  </si>
  <si>
    <t>Return unused material</t>
  </si>
  <si>
    <t>MFG013</t>
  </si>
  <si>
    <t>Output</t>
  </si>
  <si>
    <t>Declare and produce</t>
  </si>
  <si>
    <t>MFG021</t>
  </si>
  <si>
    <t>Planning</t>
  </si>
  <si>
    <t>Work centre capacity and OEE</t>
  </si>
  <si>
    <t>MFG022</t>
  </si>
  <si>
    <t>Master production schedule / MRP run</t>
  </si>
  <si>
    <t>MFG007</t>
  </si>
  <si>
    <t>Production Runs</t>
  </si>
  <si>
    <t>Production run creation</t>
  </si>
  <si>
    <t>MFG008</t>
  </si>
  <si>
    <t>Production runs from product BOM</t>
  </si>
  <si>
    <t>MFG009</t>
  </si>
  <si>
    <t>Production run status workflow</t>
  </si>
  <si>
    <t>MFG010</t>
  </si>
  <si>
    <t>Production run task status</t>
  </si>
  <si>
    <t>MFG015</t>
  </si>
  <si>
    <t>Production run materials and parties</t>
  </si>
  <si>
    <t>MFG026</t>
  </si>
  <si>
    <t>Quality</t>
  </si>
  <si>
    <t>Rejection reasons</t>
  </si>
  <si>
    <t>MFG025</t>
  </si>
  <si>
    <t>Subcontracting</t>
  </si>
  <si>
    <t>Manufacturing subcontracting</t>
  </si>
  <si>
    <t>MFG016</t>
  </si>
  <si>
    <t>WIP</t>
  </si>
  <si>
    <t>WIP status</t>
  </si>
  <si>
    <t>PRJ011</t>
  </si>
  <si>
    <t>Projects</t>
  </si>
  <si>
    <t>Certificates</t>
  </si>
  <si>
    <t>Issue materials for a certificate</t>
  </si>
  <si>
    <t>PRJ008</t>
  </si>
  <si>
    <t>Multi-Payment</t>
  </si>
  <si>
    <t>Multi-payment certificate creation</t>
  </si>
  <si>
    <t>PRJ009</t>
  </si>
  <si>
    <t>Multi-payment approve, reset and duplicate</t>
  </si>
  <si>
    <t>PRJ010</t>
  </si>
  <si>
    <t>Multi-payment items</t>
  </si>
  <si>
    <t>PRJ004</t>
  </si>
  <si>
    <t>Payment Certificates</t>
  </si>
  <si>
    <t>Project certificate creation</t>
  </si>
  <si>
    <t>PRJ005</t>
  </si>
  <si>
    <t>Certificate review and approval</t>
  </si>
  <si>
    <t>PRJ006</t>
  </si>
  <si>
    <t>Certificate items</t>
  </si>
  <si>
    <t>PRJ007</t>
  </si>
  <si>
    <t>Certificate PDF generation</t>
  </si>
  <si>
    <t>PRJ013</t>
  </si>
  <si>
    <t>Certificates by party</t>
  </si>
  <si>
    <t>PRJ012</t>
  </si>
  <si>
    <t>Approve purchase order for a certificate</t>
  </si>
  <si>
    <t>PRJ014</t>
  </si>
  <si>
    <t>Commissions</t>
  </si>
  <si>
    <t>Sales Commission</t>
  </si>
  <si>
    <t>Project commission rate maintenance</t>
  </si>
  <si>
    <t>PRJ015</t>
  </si>
  <si>
    <t>Sales commission lifecycle</t>
  </si>
  <si>
    <t>PRJ016</t>
  </si>
  <si>
    <t>Commission calculation</t>
  </si>
  <si>
    <t>PRJ017</t>
  </si>
  <si>
    <t>Accounting</t>
  </si>
  <si>
    <t>Work efforts by GL account</t>
  </si>
  <si>
    <t>PRJ003</t>
  </si>
  <si>
    <t>Project report</t>
  </si>
  <si>
    <t>PRJ001</t>
  </si>
  <si>
    <t>Project maintenance</t>
  </si>
  <si>
    <t>PRJ002</t>
  </si>
  <si>
    <t>Sub-project hierarchy</t>
  </si>
  <si>
    <t>CAT008</t>
  </si>
  <si>
    <t>Catalog</t>
  </si>
  <si>
    <t>Pricing</t>
  </si>
  <si>
    <t>Prices</t>
  </si>
  <si>
    <t>Product price maintenance</t>
  </si>
  <si>
    <t>CAT009</t>
  </si>
  <si>
    <t>Last unit price lookup</t>
  </si>
  <si>
    <t>CAT003</t>
  </si>
  <si>
    <t>Products</t>
  </si>
  <si>
    <t>Categories</t>
  </si>
  <si>
    <t>Product category maintenance</t>
  </si>
  <si>
    <t>CAT004</t>
  </si>
  <si>
    <t>Hierarchical category navigation</t>
  </si>
  <si>
    <t>CAT017</t>
  </si>
  <si>
    <t>Product cost calculation</t>
  </si>
  <si>
    <t>CAT001</t>
  </si>
  <si>
    <t>Master Data</t>
  </si>
  <si>
    <t>Product create and update</t>
  </si>
  <si>
    <t>CAT002</t>
  </si>
  <si>
    <t>Product listing and search</t>
  </si>
  <si>
    <t>CAT005</t>
  </si>
  <si>
    <t>Product types</t>
  </si>
  <si>
    <t>CAT012</t>
  </si>
  <si>
    <t>Product promotion definition</t>
  </si>
  <si>
    <t>CAT018</t>
  </si>
  <si>
    <t>Apartment product catalogue</t>
  </si>
  <si>
    <t>CAT011</t>
  </si>
  <si>
    <t>Relationships</t>
  </si>
  <si>
    <t>Product associations</t>
  </si>
  <si>
    <t>CAT016</t>
  </si>
  <si>
    <t>UoM</t>
  </si>
  <si>
    <t>Unit of measure and conversions</t>
  </si>
  <si>
    <t>CAT006</t>
  </si>
  <si>
    <t>Variants</t>
  </si>
  <si>
    <t>Product features - colour, size, trademark</t>
  </si>
  <si>
    <t>CAT007</t>
  </si>
  <si>
    <t>Variant products</t>
  </si>
  <si>
    <t>CAT013</t>
  </si>
  <si>
    <t>Stores</t>
  </si>
  <si>
    <t>Store Setup</t>
  </si>
  <si>
    <t>Product store maintenance</t>
  </si>
  <si>
    <t>CAT014</t>
  </si>
  <si>
    <t>Store payment methods and settings</t>
  </si>
  <si>
    <t>CAT015</t>
  </si>
  <si>
    <t>Store facilities</t>
  </si>
  <si>
    <t>PTY006</t>
  </si>
  <si>
    <t>Parties</t>
  </si>
  <si>
    <t>Brokers</t>
  </si>
  <si>
    <t>Broker maintenance</t>
  </si>
  <si>
    <t>PTY010</t>
  </si>
  <si>
    <t>Contacts</t>
  </si>
  <si>
    <t>Party contact mechanisms</t>
  </si>
  <si>
    <t>PTY005</t>
  </si>
  <si>
    <t>Contractors</t>
  </si>
  <si>
    <t>Contractor maintenance</t>
  </si>
  <si>
    <t>PTY002</t>
  </si>
  <si>
    <t>Customers</t>
  </si>
  <si>
    <t>Customer maintenance</t>
  </si>
  <si>
    <t>PTY004</t>
  </si>
  <si>
    <t>Employees</t>
  </si>
  <si>
    <t>Employee maintenance</t>
  </si>
  <si>
    <t>PTY013</t>
  </si>
  <si>
    <t>Employment position types</t>
  </si>
  <si>
    <t>PTY001</t>
  </si>
  <si>
    <t>Party create and delete</t>
  </si>
  <si>
    <t>PTY011</t>
  </si>
  <si>
    <t>Company listing</t>
  </si>
  <si>
    <t>PTY009</t>
  </si>
  <si>
    <t>Roles</t>
  </si>
  <si>
    <t>Party role assignment</t>
  </si>
  <si>
    <t>PTY007</t>
  </si>
  <si>
    <t>Sales Force</t>
  </si>
  <si>
    <t>Sales rep and sales manager maintenance</t>
  </si>
  <si>
    <t>PTY008</t>
  </si>
  <si>
    <t>External sales rep and manager</t>
  </si>
  <si>
    <t>PTY003</t>
  </si>
  <si>
    <t>Suppliers</t>
  </si>
  <si>
    <t>Supplier maintenance</t>
  </si>
  <si>
    <t>PTY012</t>
  </si>
  <si>
    <t>Customer tax status</t>
  </si>
  <si>
    <t>CRM001</t>
  </si>
  <si>
    <t>CRM</t>
  </si>
  <si>
    <t>Leads</t>
  </si>
  <si>
    <t>Lead Management</t>
  </si>
  <si>
    <t>Lead create and update</t>
  </si>
  <si>
    <t>CRM002</t>
  </si>
  <si>
    <t>Bulk lead import</t>
  </si>
  <si>
    <t>CRM005</t>
  </si>
  <si>
    <t>Opportunities</t>
  </si>
  <si>
    <t>Activities</t>
  </si>
  <si>
    <t>Opportunity actions and history</t>
  </si>
  <si>
    <t>CRM006</t>
  </si>
  <si>
    <t>Meeting types and locations</t>
  </si>
  <si>
    <t>CRM003</t>
  </si>
  <si>
    <t>Pipeline</t>
  </si>
  <si>
    <t>Sales opportunity create and update</t>
  </si>
  <si>
    <t>CRM004</t>
  </si>
  <si>
    <t>Opportunity stages</t>
  </si>
  <si>
    <t>CRM007</t>
  </si>
  <si>
    <t>Cancellation reasons</t>
  </si>
  <si>
    <t>HCM008</t>
  </si>
  <si>
    <t>Human Resources</t>
  </si>
  <si>
    <t>Employment contracts</t>
  </si>
  <si>
    <t>HCM011</t>
  </si>
  <si>
    <t>Expenses</t>
  </si>
  <si>
    <t>Employee expense claims</t>
  </si>
  <si>
    <t>HCM007</t>
  </si>
  <si>
    <t>Employee master</t>
  </si>
  <si>
    <t>HCM010</t>
  </si>
  <si>
    <t>Performance</t>
  </si>
  <si>
    <t>Appraisals</t>
  </si>
  <si>
    <t>HCM009</t>
  </si>
  <si>
    <t>Recruitment</t>
  </si>
  <si>
    <t>Recruitment and applicant tracking</t>
  </si>
  <si>
    <t>HCM001</t>
  </si>
  <si>
    <t>Advances</t>
  </si>
  <si>
    <t>Employee advance create and update</t>
  </si>
  <si>
    <t>HCM002</t>
  </si>
  <si>
    <t>Advance approval</t>
  </si>
  <si>
    <t>HCM003</t>
  </si>
  <si>
    <t>Advance repayment schedules</t>
  </si>
  <si>
    <t>HCM004</t>
  </si>
  <si>
    <t>Advance listing and reporting</t>
  </si>
  <si>
    <t>HCM006</t>
  </si>
  <si>
    <t>Attendance</t>
  </si>
  <si>
    <t>Absence data capture</t>
  </si>
  <si>
    <t>HCM005</t>
  </si>
  <si>
    <t>Payroll Run</t>
  </si>
  <si>
    <t>Payroll invoice generation</t>
  </si>
  <si>
    <t>SYS010</t>
  </si>
  <si>
    <t>Platform</t>
  </si>
  <si>
    <t>Compliance</t>
  </si>
  <si>
    <t>Audit</t>
  </si>
  <si>
    <t>Audit trail and record-level history</t>
  </si>
  <si>
    <t>SYS004</t>
  </si>
  <si>
    <t>Integration</t>
  </si>
  <si>
    <t>OData</t>
  </si>
  <si>
    <t>OData list endpoints</t>
  </si>
  <si>
    <t>SYS005</t>
  </si>
  <si>
    <t>Operations</t>
  </si>
  <si>
    <t>Logging</t>
  </si>
  <si>
    <t>Structured application logging</t>
  </si>
  <si>
    <t>SYS007</t>
  </si>
  <si>
    <t>Documents</t>
  </si>
  <si>
    <t>PDF document generation</t>
  </si>
  <si>
    <t>SYS008</t>
  </si>
  <si>
    <t>Export</t>
  </si>
  <si>
    <t>Excel export</t>
  </si>
  <si>
    <t>SYS001</t>
  </si>
  <si>
    <t>Security</t>
  </si>
  <si>
    <t>Authentication</t>
  </si>
  <si>
    <t>Authentication and JWT issuance</t>
  </si>
  <si>
    <t>SYS028</t>
  </si>
  <si>
    <t>Active Directory / enterprise SSO integration</t>
  </si>
  <si>
    <t>Feature Inventory – Summary Charts</t>
  </si>
  <si>
    <t>Capability Comparison: Standard vs Others</t>
  </si>
  <si>
    <t>Count</t>
  </si>
  <si>
    <t>Capability Rating</t>
  </si>
  <si>
    <t>Priority</t>
  </si>
  <si>
    <t>Standard</t>
  </si>
  <si>
    <t>High</t>
  </si>
  <si>
    <t>Capability Group</t>
  </si>
  <si>
    <t>Differentiator</t>
  </si>
  <si>
    <t>Medium</t>
  </si>
  <si>
    <t>Partial</t>
  </si>
  <si>
    <t>Low</t>
  </si>
  <si>
    <t>Differentiator + Partial + Not Built</t>
  </si>
  <si>
    <t>Not Built</t>
  </si>
</sst>
</file>

<file path=xl/styles.xml><?xml version="1.0" encoding="utf-8"?>
<styleSheet xmlns="http://schemas.openxmlformats.org/spreadsheetml/2006/main">
  <numFmts count="1">
    <numFmt numFmtId="0" formatCode="General"/>
  </numFmts>
  <fonts count="12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9"/>
      <name val="Calibri"/>
    </font>
    <font>
      <b val="1"/>
      <sz val="14"/>
      <color indexed="8"/>
      <name val="Calibri"/>
    </font>
    <font>
      <b val="1"/>
      <sz val="12"/>
      <color indexed="8"/>
      <name val="Calibri"/>
    </font>
    <font>
      <b val="1"/>
      <sz val="11"/>
      <color indexed="8"/>
      <name val="Calibri"/>
    </font>
    <font>
      <b val="1"/>
      <sz val="10"/>
      <color indexed="15"/>
      <name val="Helvetica Neue"/>
    </font>
    <font>
      <sz val="18"/>
      <color indexed="8"/>
      <name val="Helvetica Neue"/>
    </font>
    <font>
      <sz val="9"/>
      <color indexed="16"/>
      <name val="Helvetica Neue"/>
    </font>
    <font>
      <sz val="14"/>
      <color indexed="16"/>
      <name val="Helvetica Neue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</fills>
  <borders count="10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 style="thin">
        <color indexed="12"/>
      </left>
      <right/>
      <top/>
      <bottom/>
      <diagonal/>
    </border>
    <border>
      <left/>
      <right/>
      <top/>
      <bottom/>
      <diagonal/>
    </border>
    <border>
      <left/>
      <right/>
      <top style="thin">
        <color indexed="12"/>
      </top>
      <bottom style="thin">
        <color indexed="12"/>
      </bottom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/>
      <bottom style="thin">
        <color indexed="12"/>
      </bottom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top" wrapText="1"/>
    </xf>
    <xf numFmtId="49" fontId="0" fillId="3" borderId="1" applyNumberFormat="1" applyFont="1" applyFill="1" applyBorder="1" applyAlignment="1" applyProtection="0">
      <alignment horizontal="center" vertical="top" wrapText="1"/>
    </xf>
    <xf numFmtId="49" fontId="0" fillId="3" borderId="1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bottom"/>
    </xf>
    <xf numFmtId="49" fontId="4" borderId="2" applyNumberFormat="1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49" fontId="5" borderId="2" applyNumberFormat="1" applyFont="1" applyFill="0" applyBorder="1" applyAlignment="1" applyProtection="0">
      <alignment vertical="bottom"/>
    </xf>
    <xf numFmtId="49" fontId="6" fillId="4" borderId="4" applyNumberFormat="1" applyFont="1" applyFill="1" applyBorder="1" applyAlignment="1" applyProtection="0">
      <alignment vertical="bottom"/>
    </xf>
    <xf numFmtId="49" fontId="6" fillId="4" borderId="5" applyNumberFormat="1" applyFont="1" applyFill="1" applyBorder="1" applyAlignment="1" applyProtection="0">
      <alignment vertical="bottom"/>
    </xf>
    <xf numFmtId="0" fontId="0" borderId="6" applyNumberFormat="0" applyFont="1" applyFill="0" applyBorder="1" applyAlignment="1" applyProtection="0">
      <alignment vertical="bottom"/>
    </xf>
    <xf numFmtId="0" fontId="0" borderId="7" applyNumberFormat="0" applyFont="1" applyFill="0" applyBorder="1" applyAlignment="1" applyProtection="0">
      <alignment vertical="bottom"/>
    </xf>
    <xf numFmtId="49" fontId="0" borderId="8" applyNumberFormat="1" applyFont="1" applyFill="0" applyBorder="1" applyAlignment="1" applyProtection="0">
      <alignment vertical="bottom"/>
    </xf>
    <xf numFmtId="0" fontId="0" borderId="8" applyNumberFormat="1" applyFont="1" applyFill="0" applyBorder="1" applyAlignment="1" applyProtection="0">
      <alignment vertical="bottom"/>
    </xf>
    <xf numFmtId="0" fontId="0" borderId="8" applyNumberFormat="0" applyFont="1" applyFill="0" applyBorder="1" applyAlignment="1" applyProtection="0">
      <alignment vertical="bottom"/>
    </xf>
    <xf numFmtId="0" fontId="0" borderId="9" applyNumberFormat="0" applyFont="1" applyFill="0" applyBorder="1" applyAlignment="1" applyProtection="0">
      <alignment vertical="bottom"/>
    </xf>
    <xf numFmtId="49" fontId="6" fillId="4" borderId="5" applyNumberFormat="1" applyFont="1" applyFill="1" applyBorder="1" applyAlignment="1" applyProtection="0">
      <alignment horizontal="center" vertical="bottom"/>
    </xf>
    <xf numFmtId="0" fontId="6" fillId="4" borderId="5" applyNumberFormat="0" applyFont="1" applyFill="1" applyBorder="1" applyAlignment="1" applyProtection="0">
      <alignment horizontal="center" vertical="bottom"/>
    </xf>
    <xf numFmtId="49" fontId="0" borderId="2" applyNumberFormat="1" applyFont="1" applyFill="0" applyBorder="1" applyAlignment="1" applyProtection="0">
      <alignment vertical="bottom"/>
    </xf>
    <xf numFmtId="0" fontId="0" borderId="2" applyNumberFormat="1" applyFont="1" applyFill="0" applyBorder="1" applyAlignment="1" applyProtection="0">
      <alignment vertical="bottom"/>
    </xf>
    <xf numFmtId="49" fontId="0" borderId="8" applyNumberFormat="1" applyFont="1" applyFill="0" applyBorder="1" applyAlignment="1" applyProtection="0">
      <alignment horizontal="center" vertical="bottom"/>
    </xf>
    <xf numFmtId="0" fontId="0" borderId="8" applyNumberFormat="0" applyFont="1" applyFill="0" applyBorder="1" applyAlignment="1" applyProtection="0">
      <alignment horizontal="center" vertical="bottom"/>
    </xf>
    <xf numFmtId="49" fontId="0" borderId="2" applyNumberFormat="1" applyFont="1" applyFill="0" applyBorder="1" applyAlignment="1" applyProtection="0">
      <alignment horizontal="center" vertical="bottom"/>
    </xf>
    <xf numFmtId="0" fontId="0" borderId="2" applyNumberFormat="0" applyFont="1" applyFill="0" applyBorder="1" applyAlignment="1" applyProtection="0">
      <alignment horizontal="center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b4c8c"/>
      <rgbColor rgb="ffdde1e9"/>
      <rgbColor rgb="ffaaaaaa"/>
      <rgbColor rgb="ffd9e1f2"/>
      <rgbColor rgb="ffd8d8d8"/>
      <rgbColor rgb="ff3f3f3f"/>
      <rgbColor rgb="ff595959"/>
      <rgbColor rgb="ff87878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 rot="0"/>
          <a:lstStyle/>
          <a:p>
            <a:pPr>
              <a:defRPr b="0" i="0" strike="noStrike" sz="1400" u="none">
                <a:solidFill>
                  <a:srgbClr val="595959"/>
                </a:solidFill>
                <a:latin typeface="Helvetica Neue"/>
              </a:defRPr>
            </a:pPr>
            <a:r>
              <a:rPr b="0" i="0" strike="noStrike" sz="1400" u="none">
                <a:solidFill>
                  <a:srgbClr val="595959"/>
                </a:solidFill>
                <a:latin typeface="Helvetica Neue"/>
              </a:rPr>
              <a:t>Completion Status</a:t>
            </a:r>
          </a:p>
        </c:rich>
      </c:tx>
      <c:layout>
        <c:manualLayout>
          <c:xMode val="edge"/>
          <c:yMode val="edge"/>
          <c:x val="0.363572"/>
          <c:y val="0"/>
          <c:w val="0.272857"/>
          <c:h val="0.211884"/>
        </c:manualLayout>
      </c:layout>
      <c:overlay val="1"/>
      <c:spPr>
        <a:noFill/>
        <a:effectLst/>
      </c:spPr>
    </c:title>
    <c:autoTitleDeleted val="1"/>
    <c:view3D>
      <c:rotX val="15"/>
      <c:hPercent val="40"/>
      <c:rotY val="20"/>
      <c:depthPercent val="50"/>
      <c:rAngAx val="0"/>
      <c:perspective val="30"/>
    </c:view3D>
    <c:floor>
      <c:spPr>
        <a:noFill/>
        <a:ln>
          <a:noFill/>
        </a:ln>
        <a:effectLst/>
        <a:sp3d/>
      </c:spPr>
    </c:floor>
    <c:sideWall>
      <c:spPr>
        <a:noFill/>
        <a:ln>
          <a:noFill/>
        </a:ln>
        <a:effectLst/>
        <a:sp3d/>
      </c:spPr>
    </c:sideWall>
    <c:backWall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005"/>
          <c:y val="0.211884"/>
          <c:w val="0.99"/>
          <c:h val="0.775616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'Charts'!$B$3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  <a:sp3d prstMaterial="matte"/>
          </c:spPr>
          <c:invertIfNegative val="0"/>
          <c:dPt>
            <c:idx val="0"/>
            <c:spPr>
              <a:solidFill>
                <a:schemeClr val="accent1"/>
              </a:solidFill>
              <a:ln w="12700" cap="flat">
                <a:noFill/>
                <a:miter lim="400000"/>
              </a:ln>
              <a:effectLst/>
              <a:sp3d prstMaterial="matte"/>
            </c:spPr>
          </c:dPt>
          <c:dPt>
            <c:idx val="1"/>
            <c:spPr>
              <a:solidFill>
                <a:schemeClr val="accent1"/>
              </a:solidFill>
              <a:ln w="12700" cap="flat">
                <a:noFill/>
                <a:miter lim="400000"/>
              </a:ln>
              <a:effectLst/>
              <a:sp3d prstMaterial="matte"/>
            </c:spPr>
          </c:dPt>
          <c:dPt>
            <c:idx val="2"/>
            <c:spPr>
              <a:solidFill>
                <a:schemeClr val="accent1"/>
              </a:solidFill>
              <a:ln w="12700" cap="flat">
                <a:noFill/>
                <a:miter lim="400000"/>
              </a:ln>
              <a:effectLst/>
              <a:sp3d prstMaterial="matte"/>
            </c:spPr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>
                    <a:defRPr b="1" i="0" strike="noStrike" sz="1000" u="none">
                      <a:solidFill>
                        <a:srgbClr val="404040"/>
                      </a:solidFill>
                      <a:latin typeface="Helvetica Neue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numFmt formatCode="General" sourceLinked="1"/>
              <c:txPr>
                <a:bodyPr/>
                <a:lstStyle/>
                <a:p>
                  <a:pPr>
                    <a:defRPr b="1" i="0" strike="noStrike" sz="1000" u="none">
                      <a:solidFill>
                        <a:srgbClr val="404040"/>
                      </a:solidFill>
                      <a:latin typeface="Helvetica Neue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numFmt formatCode="General" sourceLinked="1"/>
              <c:txPr>
                <a:bodyPr/>
                <a:lstStyle/>
                <a:p>
                  <a:pPr>
                    <a:defRPr b="1" i="0" strike="noStrike" sz="1000" u="none">
                      <a:solidFill>
                        <a:srgbClr val="404040"/>
                      </a:solidFill>
                      <a:latin typeface="Helvetica Neue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>
                  <a:defRPr b="1" i="0" strike="noStrike" sz="1000" u="none">
                    <a:solidFill>
                      <a:srgbClr val="404040"/>
                    </a:solidFill>
                    <a:latin typeface="Helvetica Neue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'Charts'!$A$4:$A$6</c:f>
              <c:strCache>
                <c:ptCount val="3"/>
                <c:pt idx="0">
                  <c:v>Completed</c:v>
                </c:pt>
                <c:pt idx="1">
                  <c:v>Under Development</c:v>
                </c:pt>
                <c:pt idx="2">
                  <c:v>Planned</c:v>
                </c:pt>
              </c:strCache>
            </c:strRef>
          </c:cat>
          <c:val>
            <c:numRef>
              <c:f>'Charts'!$B$4:$B$6</c:f>
              <c:numCache>
                <c:ptCount val="3"/>
                <c:pt idx="0">
                  <c:v>210.000000</c:v>
                </c:pt>
                <c:pt idx="1">
                  <c:v>1.000000</c:v>
                </c:pt>
                <c:pt idx="2">
                  <c:v>10.000000</c:v>
                </c:pt>
              </c:numCache>
            </c:numRef>
          </c:val>
          <c:shape val="box"/>
        </c:ser>
        <c:gapWidth val="100"/>
        <c:gapDepth val="150"/>
        <c:shape val="box"/>
        <c:axId val="2094734552"/>
        <c:axId val="2094734553"/>
        <c:axId val="2094734554"/>
      </c:bar3D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b="0" i="0" strike="noStrike" sz="900" u="none">
                <a:solidFill>
                  <a:srgbClr val="595959"/>
                </a:solidFill>
                <a:latin typeface="Helvetica Neue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b="0" i="0" strike="noStrike" sz="900" u="none">
                <a:solidFill>
                  <a:srgbClr val="595959"/>
                </a:solidFill>
                <a:latin typeface="Helvetica Neue"/>
              </a:defRPr>
            </a:pPr>
          </a:p>
        </c:txPr>
        <c:crossAx val="2094734552"/>
        <c:crosses val="autoZero"/>
        <c:crossBetween val="between"/>
        <c:majorUnit val="75"/>
        <c:minorUnit val="37.5"/>
      </c:valAx>
      <c:serAx>
        <c:axId val="2094734554"/>
        <c:scaling>
          <c:orientation val="minMax"/>
        </c:scaling>
        <c:delete val="0"/>
        <c:axPos val="b"/>
        <c:majorTickMark val="out"/>
        <c:minorTickMark val="none"/>
        <c:tickLblPos val="none"/>
        <c:spPr>
          <a:ln w="12700" cap="flat">
            <a:noFill/>
            <a:prstDash val="solid"/>
            <a:round/>
          </a:ln>
        </c:spPr>
        <c:crossAx val="2094734553"/>
        <c:crosses val="autoZero"/>
        <c:tickLblSkip val="1"/>
      </c:serAx>
      <c:spPr>
        <a:noFill/>
        <a:ln w="12700" cap="flat">
          <a:noFill/>
          <a:miter lim="400000"/>
        </a:ln>
        <a:effectLst/>
      </c:spPr>
    </c:plotArea>
    <c:plotVisOnly val="1"/>
    <c:dispBlanksAs val="gap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 rot="0"/>
          <a:lstStyle/>
          <a:p>
            <a:pPr>
              <a:defRPr b="0" i="0" strike="noStrike" sz="1400" u="none">
                <a:solidFill>
                  <a:srgbClr val="595959"/>
                </a:solidFill>
                <a:latin typeface="Helvetica Neue"/>
              </a:defRPr>
            </a:pPr>
            <a:r>
              <a:rPr b="0" i="0" strike="noStrike" sz="1400" u="none">
                <a:solidFill>
                  <a:srgbClr val="595959"/>
                </a:solidFill>
                <a:latin typeface="Helvetica Neue"/>
              </a:rPr>
              <a:t>Capability Rating</a:t>
            </a:r>
          </a:p>
        </c:rich>
      </c:tx>
      <c:layout>
        <c:manualLayout>
          <c:xMode val="edge"/>
          <c:yMode val="edge"/>
          <c:x val="0.369902"/>
          <c:y val="0"/>
          <c:w val="0.260196"/>
          <c:h val="0.212441"/>
        </c:manualLayout>
      </c:layout>
      <c:overlay val="1"/>
      <c:spPr>
        <a:noFill/>
        <a:effectLst/>
      </c:spPr>
    </c:title>
    <c:autoTitleDeleted val="1"/>
    <c:view3D>
      <c:rotX val="15"/>
      <c:hPercent val="40"/>
      <c:rotY val="20"/>
      <c:depthPercent val="50"/>
      <c:rAngAx val="0"/>
      <c:perspective val="30"/>
    </c:view3D>
    <c:floor>
      <c:spPr>
        <a:noFill/>
        <a:ln>
          <a:noFill/>
        </a:ln>
        <a:effectLst/>
        <a:sp3d/>
      </c:spPr>
    </c:floor>
    <c:sideWall>
      <c:spPr>
        <a:noFill/>
        <a:ln>
          <a:noFill/>
        </a:ln>
        <a:effectLst/>
        <a:sp3d/>
      </c:spPr>
    </c:sideWall>
    <c:backWall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005"/>
          <c:y val="0.212441"/>
          <c:w val="0.99"/>
          <c:h val="0.775059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'Charts'!$E$3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  <a:sp3d prstMaterial="matte"/>
          </c:spPr>
          <c:invertIfNegative val="0"/>
          <c:dLbls>
            <c:numFmt formatCode="General" sourceLinked="1"/>
            <c:txPr>
              <a:bodyPr/>
              <a:lstStyle/>
              <a:p>
                <a:pPr>
                  <a:defRPr b="1" i="0" strike="noStrike" sz="1000" u="none">
                    <a:solidFill>
                      <a:srgbClr val="404040"/>
                    </a:solidFill>
                    <a:latin typeface="Helvetica Neue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'Charts'!$D$4:$D$7</c:f>
              <c:strCache>
                <c:ptCount val="4"/>
                <c:pt idx="0">
                  <c:v>Standard</c:v>
                </c:pt>
                <c:pt idx="1">
                  <c:v>Differentiator</c:v>
                </c:pt>
                <c:pt idx="2">
                  <c:v>Partial</c:v>
                </c:pt>
                <c:pt idx="3">
                  <c:v>Not Built</c:v>
                </c:pt>
              </c:strCache>
            </c:strRef>
          </c:cat>
          <c:val>
            <c:numRef>
              <c:f>'Charts'!$E$4:$E$7</c:f>
              <c:numCache>
                <c:ptCount val="0"/>
              </c:numCache>
            </c:numRef>
          </c:val>
          <c:shape val="box"/>
        </c:ser>
        <c:gapWidth val="219"/>
        <c:gapDepth val="150"/>
        <c:shape val="box"/>
        <c:axId val="2094734552"/>
        <c:axId val="2094734553"/>
        <c:axId val="2094734554"/>
      </c:bar3D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b="0" i="0" strike="noStrike" sz="900" u="none">
                <a:solidFill>
                  <a:srgbClr val="595959"/>
                </a:solidFill>
                <a:latin typeface="Helvetica Neue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b="0" i="0" strike="noStrike" sz="900" u="none">
                <a:solidFill>
                  <a:srgbClr val="595959"/>
                </a:solidFill>
                <a:latin typeface="Helvetica Neue"/>
              </a:defRPr>
            </a:pPr>
          </a:p>
        </c:txPr>
        <c:crossAx val="2094734552"/>
        <c:crosses val="autoZero"/>
        <c:crossBetween val="between"/>
        <c:majorUnit val="1"/>
        <c:minorUnit val="0.5"/>
      </c:valAx>
      <c:serAx>
        <c:axId val="2094734554"/>
        <c:scaling>
          <c:orientation val="minMax"/>
        </c:scaling>
        <c:delete val="0"/>
        <c:axPos val="b"/>
        <c:majorTickMark val="out"/>
        <c:minorTickMark val="none"/>
        <c:tickLblPos val="none"/>
        <c:spPr>
          <a:ln w="12700" cap="flat">
            <a:noFill/>
            <a:prstDash val="solid"/>
            <a:round/>
          </a:ln>
        </c:spPr>
        <c:crossAx val="2094734553"/>
        <c:crosses val="autoZero"/>
        <c:tickLblSkip val="1"/>
      </c:serAx>
      <c:spPr>
        <a:noFill/>
        <a:ln w="12700" cap="flat">
          <a:noFill/>
          <a:miter lim="400000"/>
        </a:ln>
        <a:effectLst/>
      </c:spPr>
    </c:plotArea>
    <c:plotVisOnly val="1"/>
    <c:dispBlanksAs val="gap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 rot="0"/>
          <a:lstStyle/>
          <a:p>
            <a:pPr>
              <a:defRPr b="0" i="0" strike="noStrike" sz="1400" u="none">
                <a:solidFill>
                  <a:srgbClr val="595959"/>
                </a:solidFill>
                <a:latin typeface="Helvetica Neue"/>
              </a:defRPr>
            </a:pPr>
            <a:r>
              <a:rPr b="0" i="0" strike="noStrike" sz="1400" u="none">
                <a:solidFill>
                  <a:srgbClr val="595959"/>
                </a:solidFill>
                <a:latin typeface="Helvetica Neue"/>
              </a:rPr>
              <a:t>Priority</a:t>
            </a:r>
          </a:p>
        </c:rich>
      </c:tx>
      <c:layout>
        <c:manualLayout>
          <c:xMode val="edge"/>
          <c:yMode val="edge"/>
          <c:x val="0.357428"/>
          <c:y val="0"/>
          <c:w val="0.285143"/>
          <c:h val="0.0976309"/>
        </c:manualLayout>
      </c:layout>
      <c:overlay val="1"/>
      <c:spPr>
        <a:noFill/>
        <a:effectLst/>
      </c:spPr>
    </c:title>
    <c:autoTitleDeleted val="1"/>
    <c:view3D>
      <c:rotX val="75"/>
      <c:hPercent val="50"/>
      <c:rotY val="0"/>
      <c:depthPercent val="100"/>
      <c:rAngAx val="0"/>
      <c:perspective val="30"/>
    </c:view3D>
    <c:floor>
      <c:spPr>
        <a:noFill/>
        <a:ln>
          <a:noFill/>
        </a:ln>
        <a:effectLst/>
        <a:sp3d/>
      </c:spPr>
    </c:floor>
    <c:sideWall>
      <c:spPr>
        <a:noFill/>
        <a:ln>
          <a:noFill/>
        </a:ln>
        <a:effectLst/>
        <a:sp3d/>
      </c:spPr>
    </c:sideWall>
    <c:backWall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005"/>
          <c:y val="0.0976309"/>
          <c:w val="0.99"/>
          <c:h val="0.701886"/>
        </c:manualLayout>
      </c:layout>
      <c:pie3DChart>
        <c:varyColors val="0"/>
        <c:ser>
          <c:idx val="0"/>
          <c:order val="0"/>
          <c:tx>
            <c:strRef>
              <c:f>'Charts'!$H$3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 w="25400" cap="flat">
              <a:noFill/>
              <a:prstDash val="solid"/>
              <a:round/>
            </a:ln>
            <a:effectLst/>
            <a:sp3d prstMaterial="matte"/>
          </c:spPr>
          <c:explosion val="0"/>
          <c:dPt>
            <c:idx val="0"/>
            <c:explosion val="0"/>
            <c:spPr>
              <a:solidFill>
                <a:schemeClr val="accent1"/>
              </a:solidFill>
              <a:ln w="25400" cap="flat">
                <a:noFill/>
                <a:prstDash val="solid"/>
                <a:round/>
              </a:ln>
              <a:effectLst/>
              <a:sp3d prstMaterial="matte"/>
            </c:spPr>
          </c:dPt>
          <c:dPt>
            <c:idx val="1"/>
            <c:explosion val="0"/>
            <c:spPr>
              <a:solidFill>
                <a:schemeClr val="accent2"/>
              </a:solidFill>
              <a:ln w="25400" cap="flat">
                <a:noFill/>
                <a:prstDash val="solid"/>
                <a:round/>
              </a:ln>
              <a:effectLst/>
              <a:sp3d prstMaterial="matte"/>
            </c:spPr>
          </c:dPt>
          <c:dPt>
            <c:idx val="2"/>
            <c:explosion val="0"/>
            <c:spPr>
              <a:solidFill>
                <a:schemeClr val="accent3"/>
              </a:solidFill>
              <a:ln w="25400" cap="flat">
                <a:noFill/>
                <a:prstDash val="solid"/>
                <a:round/>
              </a:ln>
              <a:effectLst/>
              <a:sp3d prstMaterial="matte"/>
            </c:spPr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>
                    <a:defRPr b="1" i="0" strike="noStrike" sz="1000" u="none">
                      <a:solidFill>
                        <a:srgbClr val="404040"/>
                      </a:solidFill>
                      <a:latin typeface="Helvetica Neue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numFmt formatCode="General" sourceLinked="1"/>
              <c:txPr>
                <a:bodyPr/>
                <a:lstStyle/>
                <a:p>
                  <a:pPr>
                    <a:defRPr b="1" i="0" strike="noStrike" sz="1000" u="none">
                      <a:solidFill>
                        <a:srgbClr val="404040"/>
                      </a:solidFill>
                      <a:latin typeface="Helvetica Neue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numFmt formatCode="General" sourceLinked="1"/>
              <c:txPr>
                <a:bodyPr/>
                <a:lstStyle/>
                <a:p>
                  <a:pPr>
                    <a:defRPr b="1" i="0" strike="noStrike" sz="1000" u="none">
                      <a:solidFill>
                        <a:srgbClr val="404040"/>
                      </a:solidFill>
                      <a:latin typeface="Helvetica Neue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>
                  <a:defRPr b="1" i="0" strike="noStrike" sz="1000" u="none">
                    <a:solidFill>
                      <a:srgbClr val="404040"/>
                    </a:solidFill>
                    <a:latin typeface="Helvetica Neue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'Charts'!$G$4:$G$6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'Charts'!$H$4:$H$6</c:f>
              <c:numCache>
                <c:ptCount val="0"/>
              </c:numCache>
            </c:numRef>
          </c:val>
        </c:ser>
      </c:pie3DChart>
      <c:spPr>
        <a:noFill/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0225722"/>
          <c:y val="0.9314"/>
          <c:w val="0.951896"/>
          <c:h val="0.0686001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900" u="none">
              <a:solidFill>
                <a:srgbClr val="595959"/>
              </a:solidFill>
              <a:latin typeface="Helvetica Neue"/>
            </a:defRPr>
          </a:pPr>
        </a:p>
      </c:txPr>
    </c:legend>
    <c:plotVisOnly val="1"/>
    <c:dispBlanksAs val="gap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 rot="0"/>
          <a:lstStyle/>
          <a:p>
            <a:pPr>
              <a:defRPr b="0" i="0" strike="noStrike" sz="1400" u="none">
                <a:solidFill>
                  <a:srgbClr val="595959"/>
                </a:solidFill>
                <a:latin typeface="Helvetica Neue"/>
              </a:defRPr>
            </a:pPr>
            <a:r>
              <a:rPr b="0" i="0" strike="noStrike" sz="1400" u="none">
                <a:solidFill>
                  <a:srgbClr val="595959"/>
                </a:solidFill>
                <a:latin typeface="Helvetica Neue"/>
              </a:rPr>
              <a:t>Standard vs Differentiator + Partial + Not Built</a:t>
            </a:r>
          </a:p>
        </c:rich>
      </c:tx>
      <c:layout>
        <c:manualLayout>
          <c:xMode val="edge"/>
          <c:yMode val="edge"/>
          <c:x val="0.16307"/>
          <c:y val="0"/>
          <c:w val="0.67386"/>
          <c:h val="0.238349"/>
        </c:manualLayout>
      </c:layout>
      <c:overlay val="1"/>
      <c:spPr>
        <a:noFill/>
        <a:effectLst/>
      </c:spPr>
    </c:title>
    <c:autoTitleDeleted val="1"/>
    <c:view3D>
      <c:rotX val="15"/>
      <c:hPercent val="40"/>
      <c:rotY val="0"/>
      <c:depthPercent val="50"/>
      <c:rAngAx val="0"/>
      <c:perspective val="30"/>
    </c:view3D>
    <c:floor>
      <c:spPr>
        <a:noFill/>
        <a:ln>
          <a:noFill/>
        </a:ln>
        <a:effectLst/>
        <a:sp3d/>
      </c:spPr>
    </c:floor>
    <c:sideWall>
      <c:spPr>
        <a:noFill/>
        <a:ln>
          <a:noFill/>
        </a:ln>
        <a:effectLst/>
        <a:sp3d/>
      </c:spPr>
    </c:sideWall>
    <c:backWall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005"/>
          <c:y val="0.238349"/>
          <c:w val="0.99"/>
          <c:h val="0.749151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'Charts'!$N$4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  <a:sp3d prstMaterial="matte"/>
          </c:spPr>
          <c:invertIfNegative val="0"/>
          <c:dPt>
            <c:idx val="0"/>
            <c:spPr>
              <a:solidFill>
                <a:schemeClr val="accent1"/>
              </a:solidFill>
              <a:ln w="12700" cap="flat">
                <a:noFill/>
                <a:miter lim="400000"/>
              </a:ln>
              <a:effectLst/>
              <a:sp3d prstMaterial="matte"/>
            </c:spPr>
          </c:dPt>
          <c:dPt>
            <c:idx val="1"/>
            <c:spPr>
              <a:solidFill>
                <a:schemeClr val="accent1"/>
              </a:solidFill>
              <a:ln w="12700" cap="flat">
                <a:noFill/>
                <a:miter lim="400000"/>
              </a:ln>
              <a:effectLst/>
              <a:sp3d prstMaterial="matte"/>
            </c:spPr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>
                    <a:defRPr b="1" i="0" strike="noStrike" sz="1000" u="none">
                      <a:solidFill>
                        <a:srgbClr val="000000"/>
                      </a:solidFill>
                      <a:latin typeface="Helvetica Neue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numFmt formatCode="General" sourceLinked="1"/>
              <c:txPr>
                <a:bodyPr/>
                <a:lstStyle/>
                <a:p>
                  <a:pPr>
                    <a:defRPr b="1" i="0" strike="noStrike" sz="1000" u="none">
                      <a:solidFill>
                        <a:srgbClr val="000000"/>
                      </a:solidFill>
                      <a:latin typeface="Helvetica Neue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>
                  <a:defRPr b="1" i="0" strike="noStrike" sz="1000" u="none">
                    <a:solidFill>
                      <a:srgbClr val="000000"/>
                    </a:solidFill>
                    <a:latin typeface="Helvetica Neue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'Charts'!$J$5:$J$6</c:f>
              <c:strCache>
                <c:ptCount val="2"/>
                <c:pt idx="0">
                  <c:v>Standard</c:v>
                </c:pt>
                <c:pt idx="1">
                  <c:v>Differentiator + Partial + Not Built</c:v>
                </c:pt>
              </c:strCache>
            </c:strRef>
          </c:cat>
          <c:val>
            <c:numRef>
              <c:f>'Charts'!$N$5:$N$6</c:f>
              <c:numCache>
                <c:ptCount val="0"/>
              </c:numCache>
            </c:numRef>
          </c:val>
          <c:shape val="box"/>
        </c:ser>
        <c:gapWidth val="100"/>
        <c:gapDepth val="150"/>
        <c:shape val="box"/>
        <c:axId val="2094734552"/>
        <c:axId val="2094734553"/>
        <c:axId val="2094734554"/>
      </c:bar3D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b="0" i="0" strike="noStrike" sz="900" u="none">
                <a:solidFill>
                  <a:srgbClr val="595959"/>
                </a:solidFill>
                <a:latin typeface="Helvetica Neue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b="0" i="0" strike="noStrike" sz="900" u="none">
                <a:solidFill>
                  <a:srgbClr val="595959"/>
                </a:solidFill>
                <a:latin typeface="Helvetica Neue"/>
              </a:defRPr>
            </a:pPr>
          </a:p>
        </c:txPr>
        <c:crossAx val="2094734552"/>
        <c:crosses val="autoZero"/>
        <c:crossBetween val="between"/>
        <c:majorUnit val="1"/>
        <c:minorUnit val="0.5"/>
      </c:valAx>
      <c:serAx>
        <c:axId val="2094734554"/>
        <c:scaling>
          <c:orientation val="minMax"/>
        </c:scaling>
        <c:delete val="0"/>
        <c:axPos val="b"/>
        <c:majorTickMark val="out"/>
        <c:minorTickMark val="none"/>
        <c:tickLblPos val="none"/>
        <c:spPr>
          <a:ln w="12700" cap="flat">
            <a:noFill/>
            <a:prstDash val="solid"/>
            <a:round/>
          </a:ln>
        </c:spPr>
        <c:crossAx val="2094734553"/>
        <c:crosses val="autoZero"/>
        <c:tickLblSkip val="1"/>
      </c:serAx>
      <c:spPr>
        <a:noFill/>
        <a:ln w="12700" cap="flat">
          <a:noFill/>
          <a:miter lim="400000"/>
        </a:ln>
        <a:effectLst/>
      </c:spPr>
    </c:plotArea>
    <c:plotVisOnly val="1"/>
    <c:dispBlanksAs val="gap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212429</xdr:colOff>
      <xdr:row>6</xdr:row>
      <xdr:rowOff>102995</xdr:rowOff>
    </xdr:from>
    <xdr:to>
      <xdr:col>4</xdr:col>
      <xdr:colOff>247184</xdr:colOff>
      <xdr:row>22</xdr:row>
      <xdr:rowOff>189769</xdr:rowOff>
    </xdr:to>
    <xdr:graphicFrame>
      <xdr:nvGraphicFramePr>
        <xdr:cNvPr id="2" name="Chart 1"/>
        <xdr:cNvGraphicFramePr/>
      </xdr:nvGraphicFramePr>
      <xdr:xfrm>
        <a:off x="212429" y="1342515"/>
        <a:ext cx="5419556" cy="3337975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>
    <xdr:from>
      <xdr:col>5</xdr:col>
      <xdr:colOff>231797</xdr:colOff>
      <xdr:row>6</xdr:row>
      <xdr:rowOff>102995</xdr:rowOff>
    </xdr:from>
    <xdr:to>
      <xdr:col>13</xdr:col>
      <xdr:colOff>352908</xdr:colOff>
      <xdr:row>22</xdr:row>
      <xdr:rowOff>181031</xdr:rowOff>
    </xdr:to>
    <xdr:graphicFrame>
      <xdr:nvGraphicFramePr>
        <xdr:cNvPr id="3" name="Chart 2"/>
        <xdr:cNvGraphicFramePr/>
      </xdr:nvGraphicFramePr>
      <xdr:xfrm>
        <a:off x="6086497" y="1342515"/>
        <a:ext cx="5213812" cy="3329237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  <xdr:twoCellAnchor>
    <xdr:from>
      <xdr:col>0</xdr:col>
      <xdr:colOff>1956722</xdr:colOff>
      <xdr:row>23</xdr:row>
      <xdr:rowOff>67249</xdr:rowOff>
    </xdr:from>
    <xdr:to>
      <xdr:col>2</xdr:col>
      <xdr:colOff>363024</xdr:colOff>
      <xdr:row>35</xdr:row>
      <xdr:rowOff>61992</xdr:rowOff>
    </xdr:to>
    <xdr:graphicFrame>
      <xdr:nvGraphicFramePr>
        <xdr:cNvPr id="4" name="Chart 3"/>
        <xdr:cNvGraphicFramePr/>
      </xdr:nvGraphicFramePr>
      <xdr:xfrm>
        <a:off x="1956722" y="4761169"/>
        <a:ext cx="1962303" cy="2433144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3"/>
        </a:graphicData>
      </a:graphic>
    </xdr:graphicFrame>
    <xdr:clientData/>
  </xdr:twoCellAnchor>
  <xdr:twoCellAnchor>
    <xdr:from>
      <xdr:col>5</xdr:col>
      <xdr:colOff>315734</xdr:colOff>
      <xdr:row>20</xdr:row>
      <xdr:rowOff>185544</xdr:rowOff>
    </xdr:from>
    <xdr:to>
      <xdr:col>13</xdr:col>
      <xdr:colOff>621470</xdr:colOff>
      <xdr:row>35</xdr:row>
      <xdr:rowOff>131544</xdr:rowOff>
    </xdr:to>
    <xdr:graphicFrame>
      <xdr:nvGraphicFramePr>
        <xdr:cNvPr id="5" name="Chart 4"/>
        <xdr:cNvGraphicFramePr/>
      </xdr:nvGraphicFramePr>
      <xdr:xfrm>
        <a:off x="6170434" y="4269864"/>
        <a:ext cx="5398437" cy="2994001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G222"/>
  <sheetViews>
    <sheetView workbookViewId="0" showGridLines="0" defaultGridColor="1"/>
  </sheetViews>
  <sheetFormatPr defaultColWidth="8.83333" defaultRowHeight="15" customHeight="1" outlineLevelRow="0" outlineLevelCol="0"/>
  <cols>
    <col min="1" max="1" width="8" style="1" customWidth="1"/>
    <col min="2" max="2" width="16" style="1" customWidth="1"/>
    <col min="3" max="3" width="14" style="1" customWidth="1"/>
    <col min="4" max="4" width="16" style="1" customWidth="1"/>
    <col min="5" max="5" width="32" style="1" customWidth="1"/>
    <col min="6" max="6" width="12" style="1" customWidth="1"/>
    <col min="7" max="7" width="14" style="1" customWidth="1"/>
    <col min="8" max="16384" width="8.85156" style="1" customWidth="1"/>
  </cols>
  <sheetData>
    <row r="1" ht="30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</row>
    <row r="2" ht="16.05" customHeight="1">
      <c r="A2" t="s" s="3">
        <v>7</v>
      </c>
      <c r="B2" t="s" s="4">
        <v>8</v>
      </c>
      <c r="C2" t="s" s="4">
        <v>9</v>
      </c>
      <c r="D2" t="s" s="4">
        <v>10</v>
      </c>
      <c r="E2" t="s" s="4">
        <v>11</v>
      </c>
      <c r="F2" t="s" s="4">
        <v>12</v>
      </c>
      <c r="G2" t="s" s="3">
        <v>13</v>
      </c>
    </row>
    <row r="3" ht="16.05" customHeight="1">
      <c r="A3" t="s" s="3">
        <v>14</v>
      </c>
      <c r="B3" t="s" s="4">
        <v>8</v>
      </c>
      <c r="C3" t="s" s="4">
        <v>9</v>
      </c>
      <c r="D3" t="s" s="4">
        <v>15</v>
      </c>
      <c r="E3" t="s" s="4">
        <v>16</v>
      </c>
      <c r="F3" t="s" s="4">
        <v>12</v>
      </c>
      <c r="G3" t="s" s="3">
        <v>13</v>
      </c>
    </row>
    <row r="4" ht="16.05" customHeight="1">
      <c r="A4" t="s" s="3">
        <v>17</v>
      </c>
      <c r="B4" t="s" s="4">
        <v>8</v>
      </c>
      <c r="C4" t="s" s="4">
        <v>9</v>
      </c>
      <c r="D4" t="s" s="4">
        <v>15</v>
      </c>
      <c r="E4" t="s" s="4">
        <v>18</v>
      </c>
      <c r="F4" t="s" s="4">
        <v>19</v>
      </c>
      <c r="G4" t="s" s="3">
        <v>13</v>
      </c>
    </row>
    <row r="5" ht="16.05" customHeight="1">
      <c r="A5" t="s" s="3">
        <v>20</v>
      </c>
      <c r="B5" t="s" s="4">
        <v>8</v>
      </c>
      <c r="C5" t="s" s="4">
        <v>9</v>
      </c>
      <c r="D5" t="s" s="4">
        <v>15</v>
      </c>
      <c r="E5" t="s" s="4">
        <v>21</v>
      </c>
      <c r="F5" t="s" s="4">
        <v>22</v>
      </c>
      <c r="G5" t="s" s="3">
        <v>13</v>
      </c>
    </row>
    <row r="6" ht="16.05" customHeight="1">
      <c r="A6" t="s" s="3">
        <v>23</v>
      </c>
      <c r="B6" t="s" s="4">
        <v>8</v>
      </c>
      <c r="C6" t="s" s="4">
        <v>9</v>
      </c>
      <c r="D6" t="s" s="4">
        <v>24</v>
      </c>
      <c r="E6" t="s" s="4">
        <v>25</v>
      </c>
      <c r="F6" t="s" s="4">
        <v>19</v>
      </c>
      <c r="G6" t="s" s="3">
        <v>13</v>
      </c>
    </row>
    <row r="7" ht="16.05" customHeight="1">
      <c r="A7" t="s" s="3">
        <v>26</v>
      </c>
      <c r="B7" t="s" s="4">
        <v>8</v>
      </c>
      <c r="C7" t="s" s="4">
        <v>27</v>
      </c>
      <c r="D7" t="s" s="4">
        <v>28</v>
      </c>
      <c r="E7" t="s" s="4">
        <v>29</v>
      </c>
      <c r="F7" t="s" s="4">
        <v>12</v>
      </c>
      <c r="G7" t="s" s="3">
        <v>13</v>
      </c>
    </row>
    <row r="8" ht="16.05" customHeight="1">
      <c r="A8" t="s" s="3">
        <v>30</v>
      </c>
      <c r="B8" t="s" s="4">
        <v>8</v>
      </c>
      <c r="C8" t="s" s="4">
        <v>27</v>
      </c>
      <c r="D8" t="s" s="4">
        <v>28</v>
      </c>
      <c r="E8" t="s" s="4">
        <v>31</v>
      </c>
      <c r="F8" t="s" s="4">
        <v>32</v>
      </c>
      <c r="G8" t="s" s="3">
        <v>13</v>
      </c>
    </row>
    <row r="9" ht="28.95" customHeight="1">
      <c r="A9" t="s" s="3">
        <v>33</v>
      </c>
      <c r="B9" t="s" s="4">
        <v>8</v>
      </c>
      <c r="C9" t="s" s="4">
        <v>27</v>
      </c>
      <c r="D9" t="s" s="4">
        <v>28</v>
      </c>
      <c r="E9" t="s" s="4">
        <v>34</v>
      </c>
      <c r="F9" t="s" s="4">
        <v>12</v>
      </c>
      <c r="G9" t="s" s="3">
        <v>13</v>
      </c>
    </row>
    <row r="10" ht="16.05" customHeight="1">
      <c r="A10" t="s" s="3">
        <v>35</v>
      </c>
      <c r="B10" t="s" s="4">
        <v>8</v>
      </c>
      <c r="C10" t="s" s="4">
        <v>27</v>
      </c>
      <c r="D10" t="s" s="4">
        <v>10</v>
      </c>
      <c r="E10" t="s" s="4">
        <v>36</v>
      </c>
      <c r="F10" t="s" s="4">
        <v>12</v>
      </c>
      <c r="G10" t="s" s="3">
        <v>13</v>
      </c>
    </row>
    <row r="11" ht="16.05" customHeight="1">
      <c r="A11" t="s" s="3">
        <v>37</v>
      </c>
      <c r="B11" t="s" s="4">
        <v>8</v>
      </c>
      <c r="C11" t="s" s="4">
        <v>27</v>
      </c>
      <c r="D11" t="s" s="4">
        <v>10</v>
      </c>
      <c r="E11" t="s" s="4">
        <v>38</v>
      </c>
      <c r="F11" t="s" s="4">
        <v>12</v>
      </c>
      <c r="G11" t="s" s="3">
        <v>13</v>
      </c>
    </row>
    <row r="12" ht="16.05" customHeight="1">
      <c r="A12" t="s" s="3">
        <v>39</v>
      </c>
      <c r="B12" t="s" s="4">
        <v>8</v>
      </c>
      <c r="C12" t="s" s="4">
        <v>27</v>
      </c>
      <c r="D12" t="s" s="4">
        <v>10</v>
      </c>
      <c r="E12" t="s" s="4">
        <v>40</v>
      </c>
      <c r="F12" t="s" s="4">
        <v>41</v>
      </c>
      <c r="G12" t="s" s="3">
        <v>13</v>
      </c>
    </row>
    <row r="13" ht="16.05" customHeight="1">
      <c r="A13" t="s" s="3">
        <v>42</v>
      </c>
      <c r="B13" t="s" s="4">
        <v>8</v>
      </c>
      <c r="C13" t="s" s="4">
        <v>27</v>
      </c>
      <c r="D13" t="s" s="4">
        <v>10</v>
      </c>
      <c r="E13" t="s" s="4">
        <v>43</v>
      </c>
      <c r="F13" t="s" s="4">
        <v>44</v>
      </c>
      <c r="G13" t="s" s="3">
        <v>13</v>
      </c>
    </row>
    <row r="14" ht="16.05" customHeight="1">
      <c r="A14" t="s" s="3">
        <v>45</v>
      </c>
      <c r="B14" t="s" s="4">
        <v>8</v>
      </c>
      <c r="C14" t="s" s="4">
        <v>27</v>
      </c>
      <c r="D14" t="s" s="4">
        <v>10</v>
      </c>
      <c r="E14" t="s" s="4">
        <v>46</v>
      </c>
      <c r="F14" t="s" s="4">
        <v>12</v>
      </c>
      <c r="G14" t="s" s="3">
        <v>13</v>
      </c>
    </row>
    <row r="15" ht="16.05" customHeight="1">
      <c r="A15" t="s" s="3">
        <v>47</v>
      </c>
      <c r="B15" t="s" s="4">
        <v>8</v>
      </c>
      <c r="C15" t="s" s="4">
        <v>27</v>
      </c>
      <c r="D15" t="s" s="4">
        <v>10</v>
      </c>
      <c r="E15" t="s" s="4">
        <v>48</v>
      </c>
      <c r="F15" t="s" s="4">
        <v>19</v>
      </c>
      <c r="G15" t="s" s="3">
        <v>13</v>
      </c>
    </row>
    <row r="16" ht="16.05" customHeight="1">
      <c r="A16" t="s" s="3">
        <v>49</v>
      </c>
      <c r="B16" t="s" s="4">
        <v>8</v>
      </c>
      <c r="C16" t="s" s="4">
        <v>27</v>
      </c>
      <c r="D16" t="s" s="4">
        <v>15</v>
      </c>
      <c r="E16" t="s" s="4">
        <v>50</v>
      </c>
      <c r="F16" t="s" s="4">
        <v>12</v>
      </c>
      <c r="G16" t="s" s="3">
        <v>13</v>
      </c>
    </row>
    <row r="17" ht="16.05" customHeight="1">
      <c r="A17" t="s" s="3">
        <v>51</v>
      </c>
      <c r="B17" t="s" s="4">
        <v>8</v>
      </c>
      <c r="C17" t="s" s="4">
        <v>27</v>
      </c>
      <c r="D17" t="s" s="4">
        <v>15</v>
      </c>
      <c r="E17" t="s" s="4">
        <v>52</v>
      </c>
      <c r="F17" t="s" s="4">
        <v>12</v>
      </c>
      <c r="G17" t="s" s="3">
        <v>13</v>
      </c>
    </row>
    <row r="18" ht="16.05" customHeight="1">
      <c r="A18" t="s" s="3">
        <v>53</v>
      </c>
      <c r="B18" t="s" s="4">
        <v>8</v>
      </c>
      <c r="C18" t="s" s="4">
        <v>27</v>
      </c>
      <c r="D18" t="s" s="4">
        <v>15</v>
      </c>
      <c r="E18" t="s" s="4">
        <v>54</v>
      </c>
      <c r="F18" t="s" s="4">
        <v>44</v>
      </c>
      <c r="G18" t="s" s="3">
        <v>13</v>
      </c>
    </row>
    <row r="19" ht="16.05" customHeight="1">
      <c r="A19" t="s" s="3">
        <v>55</v>
      </c>
      <c r="B19" t="s" s="4">
        <v>8</v>
      </c>
      <c r="C19" t="s" s="4">
        <v>27</v>
      </c>
      <c r="D19" t="s" s="4">
        <v>15</v>
      </c>
      <c r="E19" t="s" s="4">
        <v>56</v>
      </c>
      <c r="F19" t="s" s="4">
        <v>41</v>
      </c>
      <c r="G19" t="s" s="3">
        <v>13</v>
      </c>
    </row>
    <row r="20" ht="16.05" customHeight="1">
      <c r="A20" t="s" s="3">
        <v>57</v>
      </c>
      <c r="B20" t="s" s="4">
        <v>8</v>
      </c>
      <c r="C20" t="s" s="4">
        <v>27</v>
      </c>
      <c r="D20" t="s" s="4">
        <v>15</v>
      </c>
      <c r="E20" t="s" s="4">
        <v>58</v>
      </c>
      <c r="F20" t="s" s="4">
        <v>32</v>
      </c>
      <c r="G20" t="s" s="3">
        <v>13</v>
      </c>
    </row>
    <row r="21" ht="16.05" customHeight="1">
      <c r="A21" t="s" s="3">
        <v>59</v>
      </c>
      <c r="B21" t="s" s="4">
        <v>8</v>
      </c>
      <c r="C21" t="s" s="4">
        <v>27</v>
      </c>
      <c r="D21" t="s" s="4">
        <v>15</v>
      </c>
      <c r="E21" t="s" s="4">
        <v>60</v>
      </c>
      <c r="F21" t="s" s="4">
        <v>12</v>
      </c>
      <c r="G21" t="s" s="3">
        <v>13</v>
      </c>
    </row>
    <row r="22" ht="16.05" customHeight="1">
      <c r="A22" t="s" s="3">
        <v>61</v>
      </c>
      <c r="B22" t="s" s="4">
        <v>8</v>
      </c>
      <c r="C22" t="s" s="4">
        <v>27</v>
      </c>
      <c r="D22" t="s" s="4">
        <v>15</v>
      </c>
      <c r="E22" t="s" s="4">
        <v>62</v>
      </c>
      <c r="F22" t="s" s="4">
        <v>12</v>
      </c>
      <c r="G22" t="s" s="3">
        <v>13</v>
      </c>
    </row>
    <row r="23" ht="16.05" customHeight="1">
      <c r="A23" t="s" s="3">
        <v>63</v>
      </c>
      <c r="B23" t="s" s="4">
        <v>8</v>
      </c>
      <c r="C23" t="s" s="4">
        <v>27</v>
      </c>
      <c r="D23" t="s" s="4">
        <v>15</v>
      </c>
      <c r="E23" t="s" s="4">
        <v>64</v>
      </c>
      <c r="F23" t="s" s="4">
        <v>41</v>
      </c>
      <c r="G23" t="s" s="3">
        <v>13</v>
      </c>
    </row>
    <row r="24" ht="16.05" customHeight="1">
      <c r="A24" t="s" s="3">
        <v>65</v>
      </c>
      <c r="B24" t="s" s="4">
        <v>8</v>
      </c>
      <c r="C24" t="s" s="4">
        <v>27</v>
      </c>
      <c r="D24" t="s" s="4">
        <v>15</v>
      </c>
      <c r="E24" t="s" s="4">
        <v>66</v>
      </c>
      <c r="F24" t="s" s="4">
        <v>12</v>
      </c>
      <c r="G24" t="s" s="3">
        <v>13</v>
      </c>
    </row>
    <row r="25" ht="28.95" customHeight="1">
      <c r="A25" t="s" s="3">
        <v>67</v>
      </c>
      <c r="B25" t="s" s="4">
        <v>8</v>
      </c>
      <c r="C25" t="s" s="4">
        <v>27</v>
      </c>
      <c r="D25" t="s" s="4">
        <v>15</v>
      </c>
      <c r="E25" t="s" s="4">
        <v>68</v>
      </c>
      <c r="F25" t="s" s="4">
        <v>12</v>
      </c>
      <c r="G25" t="s" s="3">
        <v>69</v>
      </c>
    </row>
    <row r="26" ht="16.05" customHeight="1">
      <c r="A26" t="s" s="3">
        <v>70</v>
      </c>
      <c r="B26" t="s" s="4">
        <v>8</v>
      </c>
      <c r="C26" t="s" s="4">
        <v>71</v>
      </c>
      <c r="D26" t="s" s="4">
        <v>72</v>
      </c>
      <c r="E26" t="s" s="4">
        <v>73</v>
      </c>
      <c r="F26" t="s" s="4">
        <v>12</v>
      </c>
      <c r="G26" t="s" s="3">
        <v>13</v>
      </c>
    </row>
    <row r="27" ht="16.05" customHeight="1">
      <c r="A27" t="s" s="3">
        <v>74</v>
      </c>
      <c r="B27" t="s" s="4">
        <v>8</v>
      </c>
      <c r="C27" t="s" s="4">
        <v>71</v>
      </c>
      <c r="D27" t="s" s="4">
        <v>72</v>
      </c>
      <c r="E27" t="s" s="4">
        <v>75</v>
      </c>
      <c r="F27" t="s" s="4">
        <v>12</v>
      </c>
      <c r="G27" t="s" s="3">
        <v>13</v>
      </c>
    </row>
    <row r="28" ht="28.95" customHeight="1">
      <c r="A28" t="s" s="3">
        <v>76</v>
      </c>
      <c r="B28" t="s" s="4">
        <v>8</v>
      </c>
      <c r="C28" t="s" s="4">
        <v>71</v>
      </c>
      <c r="D28" t="s" s="4">
        <v>72</v>
      </c>
      <c r="E28" t="s" s="4">
        <v>77</v>
      </c>
      <c r="F28" t="s" s="4">
        <v>19</v>
      </c>
      <c r="G28" t="s" s="3">
        <v>69</v>
      </c>
    </row>
    <row r="29" ht="16.05" customHeight="1">
      <c r="A29" t="s" s="3">
        <v>78</v>
      </c>
      <c r="B29" t="s" s="4">
        <v>8</v>
      </c>
      <c r="C29" t="s" s="4">
        <v>79</v>
      </c>
      <c r="D29" t="s" s="4">
        <v>80</v>
      </c>
      <c r="E29" t="s" s="4">
        <v>81</v>
      </c>
      <c r="F29" t="s" s="4">
        <v>12</v>
      </c>
      <c r="G29" t="s" s="3">
        <v>13</v>
      </c>
    </row>
    <row r="30" ht="16.05" customHeight="1">
      <c r="A30" t="s" s="3">
        <v>82</v>
      </c>
      <c r="B30" t="s" s="4">
        <v>8</v>
      </c>
      <c r="C30" t="s" s="4">
        <v>79</v>
      </c>
      <c r="D30" t="s" s="4">
        <v>80</v>
      </c>
      <c r="E30" t="s" s="4">
        <v>83</v>
      </c>
      <c r="F30" t="s" s="4">
        <v>12</v>
      </c>
      <c r="G30" t="s" s="3">
        <v>13</v>
      </c>
    </row>
    <row r="31" ht="16.05" customHeight="1">
      <c r="A31" t="s" s="3">
        <v>84</v>
      </c>
      <c r="B31" t="s" s="4">
        <v>8</v>
      </c>
      <c r="C31" t="s" s="4">
        <v>85</v>
      </c>
      <c r="D31" t="s" s="4">
        <v>86</v>
      </c>
      <c r="E31" t="s" s="4">
        <v>87</v>
      </c>
      <c r="F31" t="s" s="4">
        <v>12</v>
      </c>
      <c r="G31" t="s" s="3">
        <v>13</v>
      </c>
    </row>
    <row r="32" ht="16.05" customHeight="1">
      <c r="A32" t="s" s="3">
        <v>88</v>
      </c>
      <c r="B32" t="s" s="4">
        <v>8</v>
      </c>
      <c r="C32" t="s" s="4">
        <v>85</v>
      </c>
      <c r="D32" t="s" s="4">
        <v>89</v>
      </c>
      <c r="E32" t="s" s="4">
        <v>90</v>
      </c>
      <c r="F32" t="s" s="4">
        <v>12</v>
      </c>
      <c r="G32" t="s" s="3">
        <v>13</v>
      </c>
    </row>
    <row r="33" ht="16.05" customHeight="1">
      <c r="A33" t="s" s="3">
        <v>91</v>
      </c>
      <c r="B33" t="s" s="4">
        <v>8</v>
      </c>
      <c r="C33" t="s" s="4">
        <v>85</v>
      </c>
      <c r="D33" t="s" s="4">
        <v>89</v>
      </c>
      <c r="E33" t="s" s="4">
        <v>92</v>
      </c>
      <c r="F33" t="s" s="4">
        <v>22</v>
      </c>
      <c r="G33" t="s" s="3">
        <v>13</v>
      </c>
    </row>
    <row r="34" ht="16.05" customHeight="1">
      <c r="A34" t="s" s="3">
        <v>93</v>
      </c>
      <c r="B34" t="s" s="4">
        <v>8</v>
      </c>
      <c r="C34" t="s" s="4">
        <v>85</v>
      </c>
      <c r="D34" t="s" s="4">
        <v>89</v>
      </c>
      <c r="E34" t="s" s="4">
        <v>94</v>
      </c>
      <c r="F34" t="s" s="4">
        <v>22</v>
      </c>
      <c r="G34" t="s" s="3">
        <v>13</v>
      </c>
    </row>
    <row r="35" ht="16.05" customHeight="1">
      <c r="A35" t="s" s="3">
        <v>95</v>
      </c>
      <c r="B35" t="s" s="4">
        <v>8</v>
      </c>
      <c r="C35" t="s" s="4">
        <v>85</v>
      </c>
      <c r="D35" t="s" s="4">
        <v>89</v>
      </c>
      <c r="E35" t="s" s="4">
        <v>96</v>
      </c>
      <c r="F35" t="s" s="4">
        <v>22</v>
      </c>
      <c r="G35" t="s" s="3">
        <v>13</v>
      </c>
    </row>
    <row r="36" ht="16.05" customHeight="1">
      <c r="A36" t="s" s="3">
        <v>97</v>
      </c>
      <c r="B36" t="s" s="4">
        <v>8</v>
      </c>
      <c r="C36" t="s" s="4">
        <v>98</v>
      </c>
      <c r="D36" t="s" s="4">
        <v>99</v>
      </c>
      <c r="E36" t="s" s="4">
        <v>100</v>
      </c>
      <c r="F36" t="s" s="4">
        <v>12</v>
      </c>
      <c r="G36" t="s" s="3">
        <v>13</v>
      </c>
    </row>
    <row r="37" ht="28.95" customHeight="1">
      <c r="A37" t="s" s="3">
        <v>101</v>
      </c>
      <c r="B37" t="s" s="4">
        <v>8</v>
      </c>
      <c r="C37" t="s" s="4">
        <v>98</v>
      </c>
      <c r="D37" t="s" s="4">
        <v>99</v>
      </c>
      <c r="E37" t="s" s="4">
        <v>102</v>
      </c>
      <c r="F37" t="s" s="4">
        <v>12</v>
      </c>
      <c r="G37" t="s" s="3">
        <v>13</v>
      </c>
    </row>
    <row r="38" ht="16.05" customHeight="1">
      <c r="A38" t="s" s="3">
        <v>103</v>
      </c>
      <c r="B38" t="s" s="4">
        <v>8</v>
      </c>
      <c r="C38" t="s" s="4">
        <v>98</v>
      </c>
      <c r="D38" t="s" s="4">
        <v>99</v>
      </c>
      <c r="E38" t="s" s="4">
        <v>104</v>
      </c>
      <c r="F38" t="s" s="4">
        <v>12</v>
      </c>
      <c r="G38" t="s" s="3">
        <v>13</v>
      </c>
    </row>
    <row r="39" ht="16.05" customHeight="1">
      <c r="A39" t="s" s="3">
        <v>105</v>
      </c>
      <c r="B39" t="s" s="4">
        <v>8</v>
      </c>
      <c r="C39" t="s" s="4">
        <v>98</v>
      </c>
      <c r="D39" t="s" s="4">
        <v>22</v>
      </c>
      <c r="E39" t="s" s="4">
        <v>106</v>
      </c>
      <c r="F39" t="s" s="4">
        <v>22</v>
      </c>
      <c r="G39" t="s" s="3">
        <v>13</v>
      </c>
    </row>
    <row r="40" ht="16.05" customHeight="1">
      <c r="A40" t="s" s="3">
        <v>107</v>
      </c>
      <c r="B40" t="s" s="4">
        <v>8</v>
      </c>
      <c r="C40" t="s" s="4">
        <v>98</v>
      </c>
      <c r="D40" t="s" s="4">
        <v>22</v>
      </c>
      <c r="E40" t="s" s="4">
        <v>108</v>
      </c>
      <c r="F40" t="s" s="4">
        <v>22</v>
      </c>
      <c r="G40" t="s" s="3">
        <v>13</v>
      </c>
    </row>
    <row r="41" ht="16.05" customHeight="1">
      <c r="A41" t="s" s="3">
        <v>109</v>
      </c>
      <c r="B41" t="s" s="4">
        <v>8</v>
      </c>
      <c r="C41" t="s" s="4">
        <v>98</v>
      </c>
      <c r="D41" t="s" s="4">
        <v>110</v>
      </c>
      <c r="E41" t="s" s="4">
        <v>111</v>
      </c>
      <c r="F41" t="s" s="4">
        <v>12</v>
      </c>
      <c r="G41" t="s" s="3">
        <v>13</v>
      </c>
    </row>
    <row r="42" ht="16.05" customHeight="1">
      <c r="A42" t="s" s="3">
        <v>112</v>
      </c>
      <c r="B42" t="s" s="4">
        <v>8</v>
      </c>
      <c r="C42" t="s" s="4">
        <v>98</v>
      </c>
      <c r="D42" t="s" s="4">
        <v>110</v>
      </c>
      <c r="E42" t="s" s="4">
        <v>113</v>
      </c>
      <c r="F42" t="s" s="4">
        <v>41</v>
      </c>
      <c r="G42" t="s" s="3">
        <v>13</v>
      </c>
    </row>
    <row r="43" ht="16.05" customHeight="1">
      <c r="A43" t="s" s="3">
        <v>114</v>
      </c>
      <c r="B43" t="s" s="4">
        <v>8</v>
      </c>
      <c r="C43" t="s" s="4">
        <v>98</v>
      </c>
      <c r="D43" t="s" s="4">
        <v>110</v>
      </c>
      <c r="E43" t="s" s="4">
        <v>115</v>
      </c>
      <c r="F43" t="s" s="4">
        <v>12</v>
      </c>
      <c r="G43" t="s" s="3">
        <v>13</v>
      </c>
    </row>
    <row r="44" ht="16.05" customHeight="1">
      <c r="A44" t="s" s="3">
        <v>116</v>
      </c>
      <c r="B44" t="s" s="4">
        <v>8</v>
      </c>
      <c r="C44" t="s" s="4">
        <v>98</v>
      </c>
      <c r="D44" t="s" s="4">
        <v>110</v>
      </c>
      <c r="E44" t="s" s="4">
        <v>117</v>
      </c>
      <c r="F44" t="s" s="4">
        <v>12</v>
      </c>
      <c r="G44" t="s" s="3">
        <v>13</v>
      </c>
    </row>
    <row r="45" ht="16.05" customHeight="1">
      <c r="A45" t="s" s="3">
        <v>118</v>
      </c>
      <c r="B45" t="s" s="4">
        <v>8</v>
      </c>
      <c r="C45" t="s" s="4">
        <v>98</v>
      </c>
      <c r="D45" t="s" s="4">
        <v>110</v>
      </c>
      <c r="E45" t="s" s="4">
        <v>119</v>
      </c>
      <c r="F45" t="s" s="4">
        <v>19</v>
      </c>
      <c r="G45" t="s" s="3">
        <v>13</v>
      </c>
    </row>
    <row r="46" ht="28.95" customHeight="1">
      <c r="A46" t="s" s="3">
        <v>120</v>
      </c>
      <c r="B46" t="s" s="4">
        <v>8</v>
      </c>
      <c r="C46" t="s" s="4">
        <v>98</v>
      </c>
      <c r="D46" t="s" s="4">
        <v>110</v>
      </c>
      <c r="E46" t="s" s="4">
        <v>121</v>
      </c>
      <c r="F46" t="s" s="4">
        <v>12</v>
      </c>
      <c r="G46" t="s" s="3">
        <v>13</v>
      </c>
    </row>
    <row r="47" ht="16.05" customHeight="1">
      <c r="A47" t="s" s="3">
        <v>122</v>
      </c>
      <c r="B47" t="s" s="4">
        <v>8</v>
      </c>
      <c r="C47" t="s" s="4">
        <v>98</v>
      </c>
      <c r="D47" t="s" s="4">
        <v>123</v>
      </c>
      <c r="E47" t="s" s="4">
        <v>124</v>
      </c>
      <c r="F47" t="s" s="4">
        <v>22</v>
      </c>
      <c r="G47" t="s" s="3">
        <v>13</v>
      </c>
    </row>
    <row r="48" ht="16.05" customHeight="1">
      <c r="A48" t="s" s="3">
        <v>125</v>
      </c>
      <c r="B48" t="s" s="4">
        <v>8</v>
      </c>
      <c r="C48" t="s" s="4">
        <v>98</v>
      </c>
      <c r="D48" t="s" s="4">
        <v>126</v>
      </c>
      <c r="E48" t="s" s="4">
        <v>127</v>
      </c>
      <c r="F48" t="s" s="4">
        <v>41</v>
      </c>
      <c r="G48" t="s" s="3">
        <v>13</v>
      </c>
    </row>
    <row r="49" ht="16.05" customHeight="1">
      <c r="A49" t="s" s="3">
        <v>128</v>
      </c>
      <c r="B49" t="s" s="4">
        <v>8</v>
      </c>
      <c r="C49" t="s" s="4">
        <v>98</v>
      </c>
      <c r="D49" t="s" s="4">
        <v>129</v>
      </c>
      <c r="E49" t="s" s="4">
        <v>130</v>
      </c>
      <c r="F49" t="s" s="4">
        <v>32</v>
      </c>
      <c r="G49" t="s" s="3">
        <v>13</v>
      </c>
    </row>
    <row r="50" ht="28.95" customHeight="1">
      <c r="A50" t="s" s="3">
        <v>131</v>
      </c>
      <c r="B50" t="s" s="4">
        <v>8</v>
      </c>
      <c r="C50" t="s" s="4">
        <v>98</v>
      </c>
      <c r="D50" t="s" s="4">
        <v>129</v>
      </c>
      <c r="E50" t="s" s="4">
        <v>132</v>
      </c>
      <c r="F50" t="s" s="4">
        <v>32</v>
      </c>
      <c r="G50" t="s" s="3">
        <v>13</v>
      </c>
    </row>
    <row r="51" ht="16.05" customHeight="1">
      <c r="A51" t="s" s="3">
        <v>133</v>
      </c>
      <c r="B51" t="s" s="4">
        <v>8</v>
      </c>
      <c r="C51" t="s" s="4">
        <v>98</v>
      </c>
      <c r="D51" t="s" s="4">
        <v>129</v>
      </c>
      <c r="E51" t="s" s="4">
        <v>134</v>
      </c>
      <c r="F51" t="s" s="4">
        <v>32</v>
      </c>
      <c r="G51" t="s" s="3">
        <v>13</v>
      </c>
    </row>
    <row r="52" ht="16.05" customHeight="1">
      <c r="A52" t="s" s="3">
        <v>135</v>
      </c>
      <c r="B52" t="s" s="4">
        <v>8</v>
      </c>
      <c r="C52" t="s" s="4">
        <v>98</v>
      </c>
      <c r="D52" t="s" s="4">
        <v>129</v>
      </c>
      <c r="E52" t="s" s="4">
        <v>136</v>
      </c>
      <c r="F52" t="s" s="4">
        <v>32</v>
      </c>
      <c r="G52" t="s" s="3">
        <v>13</v>
      </c>
    </row>
    <row r="53" ht="16.05" customHeight="1">
      <c r="A53" t="s" s="3">
        <v>137</v>
      </c>
      <c r="B53" t="s" s="4">
        <v>8</v>
      </c>
      <c r="C53" t="s" s="4">
        <v>98</v>
      </c>
      <c r="D53" t="s" s="4">
        <v>129</v>
      </c>
      <c r="E53" t="s" s="4">
        <v>138</v>
      </c>
      <c r="F53" t="s" s="4">
        <v>32</v>
      </c>
      <c r="G53" t="s" s="3">
        <v>13</v>
      </c>
    </row>
    <row r="54" ht="16.05" customHeight="1">
      <c r="A54" t="s" s="3">
        <v>139</v>
      </c>
      <c r="B54" t="s" s="4">
        <v>8</v>
      </c>
      <c r="C54" t="s" s="4">
        <v>98</v>
      </c>
      <c r="D54" t="s" s="4">
        <v>129</v>
      </c>
      <c r="E54" t="s" s="4">
        <v>140</v>
      </c>
      <c r="F54" t="s" s="4">
        <v>32</v>
      </c>
      <c r="G54" t="s" s="3">
        <v>13</v>
      </c>
    </row>
    <row r="55" ht="16.05" customHeight="1">
      <c r="A55" t="s" s="3">
        <v>141</v>
      </c>
      <c r="B55" t="s" s="4">
        <v>8</v>
      </c>
      <c r="C55" t="s" s="4">
        <v>98</v>
      </c>
      <c r="D55" t="s" s="4">
        <v>129</v>
      </c>
      <c r="E55" t="s" s="4">
        <v>142</v>
      </c>
      <c r="F55" t="s" s="4">
        <v>32</v>
      </c>
      <c r="G55" t="s" s="3">
        <v>13</v>
      </c>
    </row>
    <row r="56" ht="16.05" customHeight="1">
      <c r="A56" t="s" s="3">
        <v>143</v>
      </c>
      <c r="B56" t="s" s="4">
        <v>8</v>
      </c>
      <c r="C56" t="s" s="4">
        <v>98</v>
      </c>
      <c r="D56" t="s" s="4">
        <v>129</v>
      </c>
      <c r="E56" t="s" s="4">
        <v>144</v>
      </c>
      <c r="F56" t="s" s="4">
        <v>32</v>
      </c>
      <c r="G56" t="s" s="3">
        <v>13</v>
      </c>
    </row>
    <row r="57" ht="16.05" customHeight="1">
      <c r="A57" t="s" s="3">
        <v>145</v>
      </c>
      <c r="B57" t="s" s="4">
        <v>8</v>
      </c>
      <c r="C57" t="s" s="4">
        <v>98</v>
      </c>
      <c r="D57" t="s" s="4">
        <v>129</v>
      </c>
      <c r="E57" t="s" s="4">
        <v>146</v>
      </c>
      <c r="F57" t="s" s="4">
        <v>12</v>
      </c>
      <c r="G57" t="s" s="3">
        <v>13</v>
      </c>
    </row>
    <row r="58" ht="16.05" customHeight="1">
      <c r="A58" t="s" s="3">
        <v>147</v>
      </c>
      <c r="B58" t="s" s="4">
        <v>8</v>
      </c>
      <c r="C58" t="s" s="4">
        <v>98</v>
      </c>
      <c r="D58" t="s" s="4">
        <v>129</v>
      </c>
      <c r="E58" t="s" s="4">
        <v>148</v>
      </c>
      <c r="F58" t="s" s="4">
        <v>32</v>
      </c>
      <c r="G58" t="s" s="3">
        <v>13</v>
      </c>
    </row>
    <row r="59" ht="16.05" customHeight="1">
      <c r="A59" t="s" s="3">
        <v>149</v>
      </c>
      <c r="B59" t="s" s="4">
        <v>8</v>
      </c>
      <c r="C59" t="s" s="4">
        <v>150</v>
      </c>
      <c r="D59" t="s" s="4">
        <v>151</v>
      </c>
      <c r="E59" t="s" s="4">
        <v>152</v>
      </c>
      <c r="F59" t="s" s="4">
        <v>44</v>
      </c>
      <c r="G59" t="s" s="3">
        <v>13</v>
      </c>
    </row>
    <row r="60" ht="16.05" customHeight="1">
      <c r="A60" t="s" s="3">
        <v>153</v>
      </c>
      <c r="B60" t="s" s="4">
        <v>8</v>
      </c>
      <c r="C60" t="s" s="4">
        <v>150</v>
      </c>
      <c r="D60" t="s" s="4">
        <v>151</v>
      </c>
      <c r="E60" t="s" s="4">
        <v>154</v>
      </c>
      <c r="F60" t="s" s="4">
        <v>44</v>
      </c>
      <c r="G60" t="s" s="3">
        <v>13</v>
      </c>
    </row>
    <row r="61" ht="16.05" customHeight="1">
      <c r="A61" t="s" s="3">
        <v>155</v>
      </c>
      <c r="B61" t="s" s="4">
        <v>8</v>
      </c>
      <c r="C61" t="s" s="4">
        <v>150</v>
      </c>
      <c r="D61" t="s" s="4">
        <v>156</v>
      </c>
      <c r="E61" t="s" s="4">
        <v>157</v>
      </c>
      <c r="F61" t="s" s="4">
        <v>22</v>
      </c>
      <c r="G61" t="s" s="3">
        <v>13</v>
      </c>
    </row>
    <row r="62" ht="16.05" customHeight="1">
      <c r="A62" t="s" s="3">
        <v>158</v>
      </c>
      <c r="B62" t="s" s="4">
        <v>8</v>
      </c>
      <c r="C62" t="s" s="4">
        <v>150</v>
      </c>
      <c r="D62" t="s" s="4">
        <v>156</v>
      </c>
      <c r="E62" t="s" s="4">
        <v>159</v>
      </c>
      <c r="F62" t="s" s="4">
        <v>22</v>
      </c>
      <c r="G62" t="s" s="3">
        <v>13</v>
      </c>
    </row>
    <row r="63" ht="16.05" customHeight="1">
      <c r="A63" t="s" s="3">
        <v>160</v>
      </c>
      <c r="B63" t="s" s="4">
        <v>8</v>
      </c>
      <c r="C63" t="s" s="4">
        <v>161</v>
      </c>
      <c r="D63" t="s" s="4">
        <v>162</v>
      </c>
      <c r="E63" t="s" s="4">
        <v>163</v>
      </c>
      <c r="F63" t="s" s="4">
        <v>12</v>
      </c>
      <c r="G63" t="s" s="3">
        <v>13</v>
      </c>
    </row>
    <row r="64" ht="16.05" customHeight="1">
      <c r="A64" t="s" s="3">
        <v>164</v>
      </c>
      <c r="B64" t="s" s="4">
        <v>8</v>
      </c>
      <c r="C64" t="s" s="4">
        <v>161</v>
      </c>
      <c r="D64" t="s" s="4">
        <v>162</v>
      </c>
      <c r="E64" t="s" s="4">
        <v>165</v>
      </c>
      <c r="F64" t="s" s="4">
        <v>12</v>
      </c>
      <c r="G64" t="s" s="3">
        <v>13</v>
      </c>
    </row>
    <row r="65" ht="16.05" customHeight="1">
      <c r="A65" t="s" s="3">
        <v>166</v>
      </c>
      <c r="B65" t="s" s="4">
        <v>8</v>
      </c>
      <c r="C65" t="s" s="4">
        <v>161</v>
      </c>
      <c r="D65" t="s" s="4">
        <v>162</v>
      </c>
      <c r="E65" t="s" s="4">
        <v>167</v>
      </c>
      <c r="F65" t="s" s="4">
        <v>12</v>
      </c>
      <c r="G65" t="s" s="3">
        <v>13</v>
      </c>
    </row>
    <row r="66" ht="16.05" customHeight="1">
      <c r="A66" t="s" s="3">
        <v>168</v>
      </c>
      <c r="B66" t="s" s="4">
        <v>8</v>
      </c>
      <c r="C66" t="s" s="4">
        <v>161</v>
      </c>
      <c r="D66" t="s" s="4">
        <v>162</v>
      </c>
      <c r="E66" t="s" s="4">
        <v>169</v>
      </c>
      <c r="F66" t="s" s="4">
        <v>41</v>
      </c>
      <c r="G66" t="s" s="3">
        <v>13</v>
      </c>
    </row>
    <row r="67" ht="28.95" customHeight="1">
      <c r="A67" t="s" s="3">
        <v>170</v>
      </c>
      <c r="B67" t="s" s="4">
        <v>171</v>
      </c>
      <c r="C67" t="s" s="4">
        <v>172</v>
      </c>
      <c r="D67" t="s" s="4">
        <v>173</v>
      </c>
      <c r="E67" t="s" s="4">
        <v>174</v>
      </c>
      <c r="F67" t="s" s="4">
        <v>12</v>
      </c>
      <c r="G67" t="s" s="3">
        <v>13</v>
      </c>
    </row>
    <row r="68" ht="16.05" customHeight="1">
      <c r="A68" t="s" s="3">
        <v>175</v>
      </c>
      <c r="B68" t="s" s="4">
        <v>171</v>
      </c>
      <c r="C68" t="s" s="4">
        <v>176</v>
      </c>
      <c r="D68" t="s" s="4">
        <v>176</v>
      </c>
      <c r="E68" t="s" s="4">
        <v>177</v>
      </c>
      <c r="F68" t="s" s="4">
        <v>12</v>
      </c>
      <c r="G68" t="s" s="3">
        <v>13</v>
      </c>
    </row>
    <row r="69" ht="16.05" customHeight="1">
      <c r="A69" t="s" s="3">
        <v>178</v>
      </c>
      <c r="B69" t="s" s="4">
        <v>171</v>
      </c>
      <c r="C69" t="s" s="4">
        <v>179</v>
      </c>
      <c r="D69" t="s" s="4">
        <v>179</v>
      </c>
      <c r="E69" t="s" s="4">
        <v>180</v>
      </c>
      <c r="F69" t="s" s="4">
        <v>44</v>
      </c>
      <c r="G69" t="s" s="3">
        <v>13</v>
      </c>
    </row>
    <row r="70" ht="16.05" customHeight="1">
      <c r="A70" t="s" s="3">
        <v>181</v>
      </c>
      <c r="B70" t="s" s="4">
        <v>171</v>
      </c>
      <c r="C70" t="s" s="4">
        <v>179</v>
      </c>
      <c r="D70" t="s" s="4">
        <v>179</v>
      </c>
      <c r="E70" t="s" s="4">
        <v>182</v>
      </c>
      <c r="F70" t="s" s="4">
        <v>44</v>
      </c>
      <c r="G70" t="s" s="3">
        <v>13</v>
      </c>
    </row>
    <row r="71" ht="16.05" customHeight="1">
      <c r="A71" t="s" s="3">
        <v>183</v>
      </c>
      <c r="B71" t="s" s="4">
        <v>171</v>
      </c>
      <c r="C71" t="s" s="4">
        <v>184</v>
      </c>
      <c r="D71" t="s" s="4">
        <v>185</v>
      </c>
      <c r="E71" t="s" s="4">
        <v>186</v>
      </c>
      <c r="F71" t="s" s="4">
        <v>41</v>
      </c>
      <c r="G71" t="s" s="3">
        <v>13</v>
      </c>
    </row>
    <row r="72" ht="16.05" customHeight="1">
      <c r="A72" t="s" s="3">
        <v>187</v>
      </c>
      <c r="B72" t="s" s="4">
        <v>171</v>
      </c>
      <c r="C72" t="s" s="4">
        <v>184</v>
      </c>
      <c r="D72" t="s" s="4">
        <v>188</v>
      </c>
      <c r="E72" t="s" s="4">
        <v>189</v>
      </c>
      <c r="F72" t="s" s="4">
        <v>41</v>
      </c>
      <c r="G72" t="s" s="3">
        <v>13</v>
      </c>
    </row>
    <row r="73" ht="16.05" customHeight="1">
      <c r="A73" t="s" s="3">
        <v>190</v>
      </c>
      <c r="B73" t="s" s="4">
        <v>171</v>
      </c>
      <c r="C73" t="s" s="4">
        <v>184</v>
      </c>
      <c r="D73" t="s" s="4">
        <v>191</v>
      </c>
      <c r="E73" t="s" s="4">
        <v>192</v>
      </c>
      <c r="F73" t="s" s="4">
        <v>12</v>
      </c>
      <c r="G73" t="s" s="3">
        <v>13</v>
      </c>
    </row>
    <row r="74" ht="16.05" customHeight="1">
      <c r="A74" t="s" s="3">
        <v>193</v>
      </c>
      <c r="B74" t="s" s="4">
        <v>171</v>
      </c>
      <c r="C74" t="s" s="4">
        <v>184</v>
      </c>
      <c r="D74" t="s" s="4">
        <v>191</v>
      </c>
      <c r="E74" t="s" s="4">
        <v>194</v>
      </c>
      <c r="F74" t="s" s="4">
        <v>12</v>
      </c>
      <c r="G74" t="s" s="3">
        <v>13</v>
      </c>
    </row>
    <row r="75" ht="16.05" customHeight="1">
      <c r="A75" t="s" s="3">
        <v>195</v>
      </c>
      <c r="B75" t="s" s="4">
        <v>171</v>
      </c>
      <c r="C75" t="s" s="4">
        <v>184</v>
      </c>
      <c r="D75" t="s" s="4">
        <v>191</v>
      </c>
      <c r="E75" t="s" s="4">
        <v>196</v>
      </c>
      <c r="F75" t="s" s="4">
        <v>12</v>
      </c>
      <c r="G75" t="s" s="3">
        <v>13</v>
      </c>
    </row>
    <row r="76" ht="16.05" customHeight="1">
      <c r="A76" t="s" s="3">
        <v>197</v>
      </c>
      <c r="B76" t="s" s="4">
        <v>171</v>
      </c>
      <c r="C76" t="s" s="4">
        <v>198</v>
      </c>
      <c r="D76" t="s" s="4">
        <v>199</v>
      </c>
      <c r="E76" t="s" s="4">
        <v>200</v>
      </c>
      <c r="F76" t="s" s="4">
        <v>12</v>
      </c>
      <c r="G76" t="s" s="3">
        <v>13</v>
      </c>
    </row>
    <row r="77" ht="16.05" customHeight="1">
      <c r="A77" t="s" s="3">
        <v>201</v>
      </c>
      <c r="B77" t="s" s="4">
        <v>171</v>
      </c>
      <c r="C77" t="s" s="4">
        <v>198</v>
      </c>
      <c r="D77" t="s" s="4">
        <v>199</v>
      </c>
      <c r="E77" t="s" s="4">
        <v>202</v>
      </c>
      <c r="F77" t="s" s="4">
        <v>44</v>
      </c>
      <c r="G77" t="s" s="3">
        <v>13</v>
      </c>
    </row>
    <row r="78" ht="16.05" customHeight="1">
      <c r="A78" t="s" s="3">
        <v>203</v>
      </c>
      <c r="B78" t="s" s="4">
        <v>171</v>
      </c>
      <c r="C78" t="s" s="4">
        <v>198</v>
      </c>
      <c r="D78" t="s" s="4">
        <v>199</v>
      </c>
      <c r="E78" t="s" s="4">
        <v>204</v>
      </c>
      <c r="F78" t="s" s="4">
        <v>41</v>
      </c>
      <c r="G78" t="s" s="3">
        <v>13</v>
      </c>
    </row>
    <row r="79" ht="16.05" customHeight="1">
      <c r="A79" t="s" s="3">
        <v>205</v>
      </c>
      <c r="B79" t="s" s="4">
        <v>171</v>
      </c>
      <c r="C79" t="s" s="4">
        <v>198</v>
      </c>
      <c r="D79" t="s" s="4">
        <v>199</v>
      </c>
      <c r="E79" t="s" s="4">
        <v>206</v>
      </c>
      <c r="F79" t="s" s="4">
        <v>12</v>
      </c>
      <c r="G79" t="s" s="3">
        <v>13</v>
      </c>
    </row>
    <row r="80" ht="16.05" customHeight="1">
      <c r="A80" t="s" s="3">
        <v>207</v>
      </c>
      <c r="B80" t="s" s="4">
        <v>171</v>
      </c>
      <c r="C80" t="s" s="4">
        <v>208</v>
      </c>
      <c r="D80" t="s" s="4">
        <v>185</v>
      </c>
      <c r="E80" t="s" s="4">
        <v>209</v>
      </c>
      <c r="F80" t="s" s="4">
        <v>41</v>
      </c>
      <c r="G80" t="s" s="3">
        <v>13</v>
      </c>
    </row>
    <row r="81" ht="16.05" customHeight="1">
      <c r="A81" t="s" s="3">
        <v>210</v>
      </c>
      <c r="B81" t="s" s="4">
        <v>171</v>
      </c>
      <c r="C81" t="s" s="4">
        <v>208</v>
      </c>
      <c r="D81" t="s" s="4">
        <v>211</v>
      </c>
      <c r="E81" t="s" s="4">
        <v>212</v>
      </c>
      <c r="F81" t="s" s="4">
        <v>41</v>
      </c>
      <c r="G81" t="s" s="3">
        <v>13</v>
      </c>
    </row>
    <row r="82" ht="16.05" customHeight="1">
      <c r="A82" t="s" s="3">
        <v>213</v>
      </c>
      <c r="B82" t="s" s="4">
        <v>171</v>
      </c>
      <c r="C82" t="s" s="4">
        <v>208</v>
      </c>
      <c r="D82" t="s" s="4">
        <v>211</v>
      </c>
      <c r="E82" t="s" s="4">
        <v>214</v>
      </c>
      <c r="F82" t="s" s="4">
        <v>44</v>
      </c>
      <c r="G82" t="s" s="3">
        <v>13</v>
      </c>
    </row>
    <row r="83" ht="16.05" customHeight="1">
      <c r="A83" t="s" s="3">
        <v>215</v>
      </c>
      <c r="B83" t="s" s="4">
        <v>171</v>
      </c>
      <c r="C83" t="s" s="4">
        <v>208</v>
      </c>
      <c r="D83" t="s" s="4">
        <v>216</v>
      </c>
      <c r="E83" t="s" s="4">
        <v>217</v>
      </c>
      <c r="F83" t="s" s="4">
        <v>12</v>
      </c>
      <c r="G83" t="s" s="3">
        <v>13</v>
      </c>
    </row>
    <row r="84" ht="16.05" customHeight="1">
      <c r="A84" t="s" s="3">
        <v>218</v>
      </c>
      <c r="B84" t="s" s="4">
        <v>171</v>
      </c>
      <c r="C84" t="s" s="4">
        <v>208</v>
      </c>
      <c r="D84" t="s" s="4">
        <v>216</v>
      </c>
      <c r="E84" t="s" s="4">
        <v>219</v>
      </c>
      <c r="F84" t="s" s="4">
        <v>12</v>
      </c>
      <c r="G84" t="s" s="3">
        <v>13</v>
      </c>
    </row>
    <row r="85" ht="16.05" customHeight="1">
      <c r="A85" t="s" s="3">
        <v>220</v>
      </c>
      <c r="B85" t="s" s="4">
        <v>171</v>
      </c>
      <c r="C85" t="s" s="4">
        <v>208</v>
      </c>
      <c r="D85" t="s" s="4">
        <v>216</v>
      </c>
      <c r="E85" t="s" s="4">
        <v>221</v>
      </c>
      <c r="F85" t="s" s="4">
        <v>12</v>
      </c>
      <c r="G85" t="s" s="3">
        <v>13</v>
      </c>
    </row>
    <row r="86" ht="16.05" customHeight="1">
      <c r="A86" t="s" s="3">
        <v>222</v>
      </c>
      <c r="B86" t="s" s="4">
        <v>171</v>
      </c>
      <c r="C86" t="s" s="4">
        <v>208</v>
      </c>
      <c r="D86" t="s" s="4">
        <v>216</v>
      </c>
      <c r="E86" t="s" s="4">
        <v>223</v>
      </c>
      <c r="F86" t="s" s="4">
        <v>12</v>
      </c>
      <c r="G86" t="s" s="3">
        <v>13</v>
      </c>
    </row>
    <row r="87" ht="16.05" customHeight="1">
      <c r="A87" t="s" s="3">
        <v>224</v>
      </c>
      <c r="B87" t="s" s="4">
        <v>171</v>
      </c>
      <c r="C87" t="s" s="4">
        <v>208</v>
      </c>
      <c r="D87" t="s" s="4">
        <v>216</v>
      </c>
      <c r="E87" t="s" s="4">
        <v>225</v>
      </c>
      <c r="F87" t="s" s="4">
        <v>12</v>
      </c>
      <c r="G87" t="s" s="3">
        <v>13</v>
      </c>
    </row>
    <row r="88" ht="16.05" customHeight="1">
      <c r="A88" t="s" s="3">
        <v>226</v>
      </c>
      <c r="B88" t="s" s="4">
        <v>171</v>
      </c>
      <c r="C88" t="s" s="4">
        <v>208</v>
      </c>
      <c r="D88" t="s" s="4">
        <v>216</v>
      </c>
      <c r="E88" t="s" s="4">
        <v>227</v>
      </c>
      <c r="F88" t="s" s="4">
        <v>12</v>
      </c>
      <c r="G88" t="s" s="3">
        <v>13</v>
      </c>
    </row>
    <row r="89" ht="16.05" customHeight="1">
      <c r="A89" t="s" s="3">
        <v>228</v>
      </c>
      <c r="B89" t="s" s="4">
        <v>171</v>
      </c>
      <c r="C89" t="s" s="4">
        <v>208</v>
      </c>
      <c r="D89" t="s" s="4">
        <v>216</v>
      </c>
      <c r="E89" t="s" s="4">
        <v>229</v>
      </c>
      <c r="F89" t="s" s="4">
        <v>12</v>
      </c>
      <c r="G89" t="s" s="3">
        <v>13</v>
      </c>
    </row>
    <row r="90" ht="16.05" customHeight="1">
      <c r="A90" t="s" s="3">
        <v>230</v>
      </c>
      <c r="B90" t="s" s="4">
        <v>171</v>
      </c>
      <c r="C90" t="s" s="4">
        <v>208</v>
      </c>
      <c r="D90" t="s" s="4">
        <v>231</v>
      </c>
      <c r="E90" t="s" s="4">
        <v>232</v>
      </c>
      <c r="F90" t="s" s="4">
        <v>12</v>
      </c>
      <c r="G90" t="s" s="3">
        <v>13</v>
      </c>
    </row>
    <row r="91" ht="16.05" customHeight="1">
      <c r="A91" t="s" s="3">
        <v>233</v>
      </c>
      <c r="B91" t="s" s="4">
        <v>171</v>
      </c>
      <c r="C91" t="s" s="4">
        <v>208</v>
      </c>
      <c r="D91" t="s" s="4">
        <v>231</v>
      </c>
      <c r="E91" t="s" s="4">
        <v>234</v>
      </c>
      <c r="F91" t="s" s="4">
        <v>41</v>
      </c>
      <c r="G91" t="s" s="3">
        <v>13</v>
      </c>
    </row>
    <row r="92" ht="16.05" customHeight="1">
      <c r="A92" t="s" s="3">
        <v>235</v>
      </c>
      <c r="B92" t="s" s="4">
        <v>171</v>
      </c>
      <c r="C92" t="s" s="4">
        <v>236</v>
      </c>
      <c r="D92" t="s" s="4">
        <v>237</v>
      </c>
      <c r="E92" t="s" s="4">
        <v>238</v>
      </c>
      <c r="F92" t="s" s="4">
        <v>12</v>
      </c>
      <c r="G92" t="s" s="3">
        <v>13</v>
      </c>
    </row>
    <row r="93" ht="16.05" customHeight="1">
      <c r="A93" t="s" s="3">
        <v>239</v>
      </c>
      <c r="B93" t="s" s="4">
        <v>171</v>
      </c>
      <c r="C93" t="s" s="4">
        <v>236</v>
      </c>
      <c r="D93" t="s" s="4">
        <v>237</v>
      </c>
      <c r="E93" t="s" s="4">
        <v>240</v>
      </c>
      <c r="F93" t="s" s="4">
        <v>44</v>
      </c>
      <c r="G93" t="s" s="3">
        <v>13</v>
      </c>
    </row>
    <row r="94" ht="16.05" customHeight="1">
      <c r="A94" t="s" s="3">
        <v>241</v>
      </c>
      <c r="B94" t="s" s="4">
        <v>171</v>
      </c>
      <c r="C94" t="s" s="4">
        <v>236</v>
      </c>
      <c r="D94" t="s" s="4">
        <v>237</v>
      </c>
      <c r="E94" t="s" s="4">
        <v>242</v>
      </c>
      <c r="F94" t="s" s="4">
        <v>12</v>
      </c>
      <c r="G94" t="s" s="3">
        <v>13</v>
      </c>
    </row>
    <row r="95" ht="16.05" customHeight="1">
      <c r="A95" t="s" s="3">
        <v>243</v>
      </c>
      <c r="B95" t="s" s="4">
        <v>171</v>
      </c>
      <c r="C95" t="s" s="4">
        <v>236</v>
      </c>
      <c r="D95" t="s" s="4">
        <v>237</v>
      </c>
      <c r="E95" t="s" s="4">
        <v>244</v>
      </c>
      <c r="F95" t="s" s="4">
        <v>41</v>
      </c>
      <c r="G95" t="s" s="3">
        <v>13</v>
      </c>
    </row>
    <row r="96" ht="16.05" customHeight="1">
      <c r="A96" t="s" s="3">
        <v>245</v>
      </c>
      <c r="B96" t="s" s="4">
        <v>246</v>
      </c>
      <c r="C96" t="s" s="4">
        <v>247</v>
      </c>
      <c r="D96" t="s" s="4">
        <v>185</v>
      </c>
      <c r="E96" t="s" s="4">
        <v>248</v>
      </c>
      <c r="F96" t="s" s="4">
        <v>41</v>
      </c>
      <c r="G96" t="s" s="3">
        <v>13</v>
      </c>
    </row>
    <row r="97" ht="16.05" customHeight="1">
      <c r="A97" t="s" s="3">
        <v>249</v>
      </c>
      <c r="B97" t="s" s="4">
        <v>246</v>
      </c>
      <c r="C97" t="s" s="4">
        <v>247</v>
      </c>
      <c r="D97" t="s" s="4">
        <v>250</v>
      </c>
      <c r="E97" t="s" s="4">
        <v>251</v>
      </c>
      <c r="F97" t="s" s="4">
        <v>41</v>
      </c>
      <c r="G97" t="s" s="3">
        <v>13</v>
      </c>
    </row>
    <row r="98" ht="16.05" customHeight="1">
      <c r="A98" t="s" s="3">
        <v>252</v>
      </c>
      <c r="B98" t="s" s="4">
        <v>246</v>
      </c>
      <c r="C98" t="s" s="4">
        <v>247</v>
      </c>
      <c r="D98" t="s" s="4">
        <v>216</v>
      </c>
      <c r="E98" t="s" s="4">
        <v>253</v>
      </c>
      <c r="F98" t="s" s="4">
        <v>12</v>
      </c>
      <c r="G98" t="s" s="3">
        <v>13</v>
      </c>
    </row>
    <row r="99" ht="16.05" customHeight="1">
      <c r="A99" t="s" s="3">
        <v>254</v>
      </c>
      <c r="B99" t="s" s="4">
        <v>246</v>
      </c>
      <c r="C99" t="s" s="4">
        <v>247</v>
      </c>
      <c r="D99" t="s" s="4">
        <v>216</v>
      </c>
      <c r="E99" t="s" s="4">
        <v>255</v>
      </c>
      <c r="F99" t="s" s="4">
        <v>12</v>
      </c>
      <c r="G99" t="s" s="3">
        <v>13</v>
      </c>
    </row>
    <row r="100" ht="16.05" customHeight="1">
      <c r="A100" t="s" s="3">
        <v>256</v>
      </c>
      <c r="B100" t="s" s="4">
        <v>246</v>
      </c>
      <c r="C100" t="s" s="4">
        <v>247</v>
      </c>
      <c r="D100" t="s" s="4">
        <v>257</v>
      </c>
      <c r="E100" t="s" s="4">
        <v>258</v>
      </c>
      <c r="F100" t="s" s="4">
        <v>12</v>
      </c>
      <c r="G100" t="s" s="3">
        <v>13</v>
      </c>
    </row>
    <row r="101" ht="16.05" customHeight="1">
      <c r="A101" t="s" s="3">
        <v>259</v>
      </c>
      <c r="B101" t="s" s="4">
        <v>246</v>
      </c>
      <c r="C101" t="s" s="4">
        <v>247</v>
      </c>
      <c r="D101" t="s" s="4">
        <v>257</v>
      </c>
      <c r="E101" t="s" s="4">
        <v>260</v>
      </c>
      <c r="F101" t="s" s="4">
        <v>41</v>
      </c>
      <c r="G101" t="s" s="3">
        <v>13</v>
      </c>
    </row>
    <row r="102" ht="16.05" customHeight="1">
      <c r="A102" t="s" s="3">
        <v>261</v>
      </c>
      <c r="B102" t="s" s="4">
        <v>246</v>
      </c>
      <c r="C102" t="s" s="4">
        <v>247</v>
      </c>
      <c r="D102" t="s" s="4">
        <v>257</v>
      </c>
      <c r="E102" t="s" s="4">
        <v>262</v>
      </c>
      <c r="F102" t="s" s="4">
        <v>41</v>
      </c>
      <c r="G102" t="s" s="3">
        <v>13</v>
      </c>
    </row>
    <row r="103" ht="16.05" customHeight="1">
      <c r="A103" t="s" s="3">
        <v>263</v>
      </c>
      <c r="B103" t="s" s="4">
        <v>246</v>
      </c>
      <c r="C103" t="s" s="4">
        <v>264</v>
      </c>
      <c r="D103" t="s" s="4">
        <v>265</v>
      </c>
      <c r="E103" t="s" s="4">
        <v>266</v>
      </c>
      <c r="F103" t="s" s="4">
        <v>12</v>
      </c>
      <c r="G103" t="s" s="3">
        <v>13</v>
      </c>
    </row>
    <row r="104" ht="16.05" customHeight="1">
      <c r="A104" t="s" s="3">
        <v>267</v>
      </c>
      <c r="B104" t="s" s="4">
        <v>268</v>
      </c>
      <c r="C104" t="s" s="4">
        <v>269</v>
      </c>
      <c r="D104" t="s" s="4">
        <v>270</v>
      </c>
      <c r="E104" t="s" s="4">
        <v>271</v>
      </c>
      <c r="F104" t="s" s="4">
        <v>12</v>
      </c>
      <c r="G104" t="s" s="3">
        <v>13</v>
      </c>
    </row>
    <row r="105" ht="16.05" customHeight="1">
      <c r="A105" t="s" s="3">
        <v>272</v>
      </c>
      <c r="B105" t="s" s="4">
        <v>268</v>
      </c>
      <c r="C105" t="s" s="4">
        <v>269</v>
      </c>
      <c r="D105" t="s" s="4">
        <v>270</v>
      </c>
      <c r="E105" t="s" s="4">
        <v>273</v>
      </c>
      <c r="F105" t="s" s="4">
        <v>22</v>
      </c>
      <c r="G105" t="s" s="3">
        <v>13</v>
      </c>
    </row>
    <row r="106" ht="16.05" customHeight="1">
      <c r="A106" t="s" s="3">
        <v>274</v>
      </c>
      <c r="B106" t="s" s="4">
        <v>268</v>
      </c>
      <c r="C106" t="s" s="4">
        <v>268</v>
      </c>
      <c r="D106" t="s" s="4">
        <v>275</v>
      </c>
      <c r="E106" t="s" s="4">
        <v>276</v>
      </c>
      <c r="F106" t="s" s="4">
        <v>41</v>
      </c>
      <c r="G106" t="s" s="3">
        <v>13</v>
      </c>
    </row>
    <row r="107" ht="16.05" customHeight="1">
      <c r="A107" t="s" s="3">
        <v>277</v>
      </c>
      <c r="B107" t="s" s="4">
        <v>268</v>
      </c>
      <c r="C107" t="s" s="4">
        <v>268</v>
      </c>
      <c r="D107" t="s" s="4">
        <v>275</v>
      </c>
      <c r="E107" t="s" s="4">
        <v>278</v>
      </c>
      <c r="F107" t="s" s="4">
        <v>22</v>
      </c>
      <c r="G107" t="s" s="3">
        <v>13</v>
      </c>
    </row>
    <row r="108" ht="16.05" customHeight="1">
      <c r="A108" t="s" s="3">
        <v>279</v>
      </c>
      <c r="B108" t="s" s="4">
        <v>268</v>
      </c>
      <c r="C108" t="s" s="4">
        <v>268</v>
      </c>
      <c r="D108" t="s" s="4">
        <v>280</v>
      </c>
      <c r="E108" t="s" s="4">
        <v>281</v>
      </c>
      <c r="F108" t="s" s="4">
        <v>12</v>
      </c>
      <c r="G108" t="s" s="3">
        <v>13</v>
      </c>
    </row>
    <row r="109" ht="16.05" customHeight="1">
      <c r="A109" t="s" s="3">
        <v>282</v>
      </c>
      <c r="B109" t="s" s="4">
        <v>268</v>
      </c>
      <c r="C109" t="s" s="4">
        <v>268</v>
      </c>
      <c r="D109" t="s" s="4">
        <v>280</v>
      </c>
      <c r="E109" t="s" s="4">
        <v>283</v>
      </c>
      <c r="F109" t="s" s="4">
        <v>12</v>
      </c>
      <c r="G109" t="s" s="3">
        <v>13</v>
      </c>
    </row>
    <row r="110" ht="16.05" customHeight="1">
      <c r="A110" t="s" s="3">
        <v>284</v>
      </c>
      <c r="B110" t="s" s="4">
        <v>268</v>
      </c>
      <c r="C110" t="s" s="4">
        <v>268</v>
      </c>
      <c r="D110" t="s" s="4">
        <v>280</v>
      </c>
      <c r="E110" t="s" s="4">
        <v>285</v>
      </c>
      <c r="F110" t="s" s="4">
        <v>44</v>
      </c>
      <c r="G110" t="s" s="3">
        <v>13</v>
      </c>
    </row>
    <row r="111" ht="16.05" customHeight="1">
      <c r="A111" t="s" s="3">
        <v>286</v>
      </c>
      <c r="B111" t="s" s="4">
        <v>268</v>
      </c>
      <c r="C111" t="s" s="4">
        <v>268</v>
      </c>
      <c r="D111" t="s" s="4">
        <v>280</v>
      </c>
      <c r="E111" t="s" s="4">
        <v>287</v>
      </c>
      <c r="F111" t="s" s="4">
        <v>44</v>
      </c>
      <c r="G111" t="s" s="3">
        <v>13</v>
      </c>
    </row>
    <row r="112" ht="16.05" customHeight="1">
      <c r="A112" t="s" s="3">
        <v>288</v>
      </c>
      <c r="B112" t="s" s="4">
        <v>268</v>
      </c>
      <c r="C112" t="s" s="4">
        <v>268</v>
      </c>
      <c r="D112" t="s" s="4">
        <v>289</v>
      </c>
      <c r="E112" t="s" s="4">
        <v>290</v>
      </c>
      <c r="F112" t="s" s="4">
        <v>41</v>
      </c>
      <c r="G112" t="s" s="3">
        <v>13</v>
      </c>
    </row>
    <row r="113" ht="16.05" customHeight="1">
      <c r="A113" t="s" s="3">
        <v>291</v>
      </c>
      <c r="B113" t="s" s="4">
        <v>268</v>
      </c>
      <c r="C113" t="s" s="4">
        <v>268</v>
      </c>
      <c r="D113" t="s" s="4">
        <v>292</v>
      </c>
      <c r="E113" t="s" s="4">
        <v>293</v>
      </c>
      <c r="F113" t="s" s="4">
        <v>41</v>
      </c>
      <c r="G113" t="s" s="3">
        <v>13</v>
      </c>
    </row>
    <row r="114" ht="16.05" customHeight="1">
      <c r="A114" t="s" s="3">
        <v>294</v>
      </c>
      <c r="B114" t="s" s="4">
        <v>268</v>
      </c>
      <c r="C114" t="s" s="4">
        <v>268</v>
      </c>
      <c r="D114" t="s" s="4">
        <v>270</v>
      </c>
      <c r="E114" t="s" s="4">
        <v>295</v>
      </c>
      <c r="F114" t="s" s="4">
        <v>22</v>
      </c>
      <c r="G114" t="s" s="3">
        <v>13</v>
      </c>
    </row>
    <row r="115" ht="16.05" customHeight="1">
      <c r="A115" t="s" s="3">
        <v>296</v>
      </c>
      <c r="B115" t="s" s="4">
        <v>268</v>
      </c>
      <c r="C115" t="s" s="4">
        <v>268</v>
      </c>
      <c r="D115" t="s" s="4">
        <v>297</v>
      </c>
      <c r="E115" t="s" s="4">
        <v>298</v>
      </c>
      <c r="F115" t="s" s="4">
        <v>12</v>
      </c>
      <c r="G115" t="s" s="3">
        <v>13</v>
      </c>
    </row>
    <row r="116" ht="28.95" customHeight="1">
      <c r="A116" t="s" s="3">
        <v>299</v>
      </c>
      <c r="B116" t="s" s="4">
        <v>268</v>
      </c>
      <c r="C116" t="s" s="4">
        <v>300</v>
      </c>
      <c r="D116" t="s" s="4">
        <v>301</v>
      </c>
      <c r="E116" t="s" s="4">
        <v>302</v>
      </c>
      <c r="F116" t="s" s="4">
        <v>303</v>
      </c>
      <c r="G116" t="s" s="3">
        <v>304</v>
      </c>
    </row>
    <row r="117" ht="16.05" customHeight="1">
      <c r="A117" t="s" s="3">
        <v>305</v>
      </c>
      <c r="B117" t="s" s="4">
        <v>268</v>
      </c>
      <c r="C117" t="s" s="4">
        <v>300</v>
      </c>
      <c r="D117" t="s" s="4">
        <v>306</v>
      </c>
      <c r="E117" t="s" s="4">
        <v>307</v>
      </c>
      <c r="F117" t="s" s="4">
        <v>12</v>
      </c>
      <c r="G117" t="s" s="3">
        <v>13</v>
      </c>
    </row>
    <row r="118" ht="16.05" customHeight="1">
      <c r="A118" t="s" s="3">
        <v>308</v>
      </c>
      <c r="B118" t="s" s="4">
        <v>268</v>
      </c>
      <c r="C118" t="s" s="4">
        <v>300</v>
      </c>
      <c r="D118" t="s" s="4">
        <v>306</v>
      </c>
      <c r="E118" t="s" s="4">
        <v>309</v>
      </c>
      <c r="F118" t="s" s="4">
        <v>12</v>
      </c>
      <c r="G118" t="s" s="3">
        <v>13</v>
      </c>
    </row>
    <row r="119" ht="16.05" customHeight="1">
      <c r="A119" t="s" s="3">
        <v>310</v>
      </c>
      <c r="B119" t="s" s="4">
        <v>268</v>
      </c>
      <c r="C119" t="s" s="4">
        <v>300</v>
      </c>
      <c r="D119" t="s" s="4">
        <v>311</v>
      </c>
      <c r="E119" t="s" s="4">
        <v>312</v>
      </c>
      <c r="F119" t="s" s="4">
        <v>41</v>
      </c>
      <c r="G119" t="s" s="3">
        <v>13</v>
      </c>
    </row>
    <row r="120" ht="16.05" customHeight="1">
      <c r="A120" t="s" s="3">
        <v>313</v>
      </c>
      <c r="B120" t="s" s="4">
        <v>268</v>
      </c>
      <c r="C120" t="s" s="4">
        <v>300</v>
      </c>
      <c r="D120" t="s" s="4">
        <v>311</v>
      </c>
      <c r="E120" t="s" s="4">
        <v>314</v>
      </c>
      <c r="F120" t="s" s="4">
        <v>12</v>
      </c>
      <c r="G120" t="s" s="3">
        <v>13</v>
      </c>
    </row>
    <row r="121" ht="16.05" customHeight="1">
      <c r="A121" t="s" s="3">
        <v>315</v>
      </c>
      <c r="B121" t="s" s="4">
        <v>268</v>
      </c>
      <c r="C121" t="s" s="4">
        <v>300</v>
      </c>
      <c r="D121" t="s" s="4">
        <v>311</v>
      </c>
      <c r="E121" t="s" s="4">
        <v>316</v>
      </c>
      <c r="F121" t="s" s="4">
        <v>32</v>
      </c>
      <c r="G121" t="s" s="3">
        <v>13</v>
      </c>
    </row>
    <row r="122" ht="16.05" customHeight="1">
      <c r="A122" t="s" s="3">
        <v>317</v>
      </c>
      <c r="B122" t="s" s="4">
        <v>268</v>
      </c>
      <c r="C122" t="s" s="4">
        <v>300</v>
      </c>
      <c r="D122" t="s" s="4">
        <v>311</v>
      </c>
      <c r="E122" t="s" s="4">
        <v>318</v>
      </c>
      <c r="F122" t="s" s="4">
        <v>41</v>
      </c>
      <c r="G122" t="s" s="3">
        <v>13</v>
      </c>
    </row>
    <row r="123" ht="16.05" customHeight="1">
      <c r="A123" t="s" s="3">
        <v>319</v>
      </c>
      <c r="B123" t="s" s="4">
        <v>320</v>
      </c>
      <c r="C123" t="s" s="4">
        <v>321</v>
      </c>
      <c r="D123" t="s" s="4">
        <v>322</v>
      </c>
      <c r="E123" t="s" s="4">
        <v>323</v>
      </c>
      <c r="F123" t="s" s="4">
        <v>12</v>
      </c>
      <c r="G123" t="s" s="3">
        <v>13</v>
      </c>
    </row>
    <row r="124" ht="16.05" customHeight="1">
      <c r="A124" t="s" s="3">
        <v>324</v>
      </c>
      <c r="B124" t="s" s="4">
        <v>320</v>
      </c>
      <c r="C124" t="s" s="4">
        <v>321</v>
      </c>
      <c r="D124" t="s" s="4">
        <v>325</v>
      </c>
      <c r="E124" t="s" s="4">
        <v>326</v>
      </c>
      <c r="F124" t="s" s="4">
        <v>12</v>
      </c>
      <c r="G124" t="s" s="3">
        <v>13</v>
      </c>
    </row>
    <row r="125" ht="16.05" customHeight="1">
      <c r="A125" t="s" s="3">
        <v>327</v>
      </c>
      <c r="B125" t="s" s="4">
        <v>320</v>
      </c>
      <c r="C125" t="s" s="4">
        <v>321</v>
      </c>
      <c r="D125" t="s" s="4">
        <v>325</v>
      </c>
      <c r="E125" t="s" s="4">
        <v>328</v>
      </c>
      <c r="F125" t="s" s="4">
        <v>41</v>
      </c>
      <c r="G125" t="s" s="3">
        <v>13</v>
      </c>
    </row>
    <row r="126" ht="16.05" customHeight="1">
      <c r="A126" t="s" s="3">
        <v>329</v>
      </c>
      <c r="B126" t="s" s="4">
        <v>320</v>
      </c>
      <c r="C126" t="s" s="4">
        <v>321</v>
      </c>
      <c r="D126" t="s" s="4">
        <v>270</v>
      </c>
      <c r="E126" t="s" s="4">
        <v>330</v>
      </c>
      <c r="F126" t="s" s="4">
        <v>22</v>
      </c>
      <c r="G126" t="s" s="3">
        <v>13</v>
      </c>
    </row>
    <row r="127" ht="16.05" customHeight="1">
      <c r="A127" t="s" s="3">
        <v>331</v>
      </c>
      <c r="B127" t="s" s="4">
        <v>332</v>
      </c>
      <c r="C127" t="s" s="4">
        <v>333</v>
      </c>
      <c r="D127" t="s" s="4">
        <v>334</v>
      </c>
      <c r="E127" t="s" s="4">
        <v>335</v>
      </c>
      <c r="F127" t="s" s="4">
        <v>12</v>
      </c>
      <c r="G127" t="s" s="3">
        <v>13</v>
      </c>
    </row>
    <row r="128" ht="16.05" customHeight="1">
      <c r="A128" t="s" s="3">
        <v>336</v>
      </c>
      <c r="B128" t="s" s="4">
        <v>332</v>
      </c>
      <c r="C128" t="s" s="4">
        <v>333</v>
      </c>
      <c r="D128" t="s" s="4">
        <v>334</v>
      </c>
      <c r="E128" t="s" s="4">
        <v>337</v>
      </c>
      <c r="F128" t="s" s="4">
        <v>44</v>
      </c>
      <c r="G128" t="s" s="3">
        <v>13</v>
      </c>
    </row>
    <row r="129" ht="16.05" customHeight="1">
      <c r="A129" t="s" s="3">
        <v>338</v>
      </c>
      <c r="B129" t="s" s="4">
        <v>332</v>
      </c>
      <c r="C129" t="s" s="4">
        <v>333</v>
      </c>
      <c r="D129" t="s" s="4">
        <v>334</v>
      </c>
      <c r="E129" t="s" s="4">
        <v>339</v>
      </c>
      <c r="F129" t="s" s="4">
        <v>32</v>
      </c>
      <c r="G129" t="s" s="3">
        <v>13</v>
      </c>
    </row>
    <row r="130" ht="16.05" customHeight="1">
      <c r="A130" t="s" s="3">
        <v>340</v>
      </c>
      <c r="B130" t="s" s="4">
        <v>332</v>
      </c>
      <c r="C130" t="s" s="4">
        <v>333</v>
      </c>
      <c r="D130" t="s" s="4">
        <v>341</v>
      </c>
      <c r="E130" t="s" s="4">
        <v>342</v>
      </c>
      <c r="F130" t="s" s="4">
        <v>12</v>
      </c>
      <c r="G130" t="s" s="3">
        <v>13</v>
      </c>
    </row>
    <row r="131" ht="16.05" customHeight="1">
      <c r="A131" t="s" s="3">
        <v>343</v>
      </c>
      <c r="B131" t="s" s="4">
        <v>332</v>
      </c>
      <c r="C131" t="s" s="4">
        <v>333</v>
      </c>
      <c r="D131" t="s" s="4">
        <v>341</v>
      </c>
      <c r="E131" t="s" s="4">
        <v>344</v>
      </c>
      <c r="F131" t="s" s="4">
        <v>12</v>
      </c>
      <c r="G131" t="s" s="3">
        <v>13</v>
      </c>
    </row>
    <row r="132" ht="16.05" customHeight="1">
      <c r="A132" t="s" s="3">
        <v>345</v>
      </c>
      <c r="B132" t="s" s="4">
        <v>332</v>
      </c>
      <c r="C132" t="s" s="4">
        <v>333</v>
      </c>
      <c r="D132" t="s" s="4">
        <v>341</v>
      </c>
      <c r="E132" t="s" s="4">
        <v>346</v>
      </c>
      <c r="F132" t="s" s="4">
        <v>22</v>
      </c>
      <c r="G132" t="s" s="3">
        <v>13</v>
      </c>
    </row>
    <row r="133" ht="16.05" customHeight="1">
      <c r="A133" t="s" s="3">
        <v>347</v>
      </c>
      <c r="B133" t="s" s="4">
        <v>332</v>
      </c>
      <c r="C133" t="s" s="4">
        <v>348</v>
      </c>
      <c r="D133" t="s" s="4">
        <v>85</v>
      </c>
      <c r="E133" t="s" s="4">
        <v>349</v>
      </c>
      <c r="F133" t="s" s="4">
        <v>12</v>
      </c>
      <c r="G133" t="s" s="3">
        <v>13</v>
      </c>
    </row>
    <row r="134" ht="16.05" customHeight="1">
      <c r="A134" t="s" s="3">
        <v>350</v>
      </c>
      <c r="B134" t="s" s="4">
        <v>332</v>
      </c>
      <c r="C134" t="s" s="4">
        <v>348</v>
      </c>
      <c r="D134" t="s" s="4">
        <v>85</v>
      </c>
      <c r="E134" t="s" s="4">
        <v>351</v>
      </c>
      <c r="F134" t="s" s="4">
        <v>22</v>
      </c>
      <c r="G134" t="s" s="3">
        <v>13</v>
      </c>
    </row>
    <row r="135" ht="28.95" customHeight="1">
      <c r="A135" t="s" s="3">
        <v>352</v>
      </c>
      <c r="B135" t="s" s="4">
        <v>332</v>
      </c>
      <c r="C135" t="s" s="4">
        <v>348</v>
      </c>
      <c r="D135" t="s" s="4">
        <v>85</v>
      </c>
      <c r="E135" t="s" s="4">
        <v>353</v>
      </c>
      <c r="F135" t="s" s="4">
        <v>32</v>
      </c>
      <c r="G135" t="s" s="3">
        <v>13</v>
      </c>
    </row>
    <row r="136" ht="16.05" customHeight="1">
      <c r="A136" t="s" s="3">
        <v>354</v>
      </c>
      <c r="B136" t="s" s="4">
        <v>332</v>
      </c>
      <c r="C136" t="s" s="4">
        <v>348</v>
      </c>
      <c r="D136" t="s" s="4">
        <v>268</v>
      </c>
      <c r="E136" t="s" s="4">
        <v>355</v>
      </c>
      <c r="F136" t="s" s="4">
        <v>12</v>
      </c>
      <c r="G136" t="s" s="3">
        <v>13</v>
      </c>
    </row>
    <row r="137" ht="16.05" customHeight="1">
      <c r="A137" t="s" s="3">
        <v>356</v>
      </c>
      <c r="B137" t="s" s="4">
        <v>332</v>
      </c>
      <c r="C137" t="s" s="4">
        <v>348</v>
      </c>
      <c r="D137" t="s" s="4">
        <v>357</v>
      </c>
      <c r="E137" t="s" s="4">
        <v>358</v>
      </c>
      <c r="F137" t="s" s="4">
        <v>41</v>
      </c>
      <c r="G137" t="s" s="3">
        <v>13</v>
      </c>
    </row>
    <row r="138" ht="16.05" customHeight="1">
      <c r="A138" t="s" s="3">
        <v>359</v>
      </c>
      <c r="B138" t="s" s="4">
        <v>332</v>
      </c>
      <c r="C138" t="s" s="4">
        <v>348</v>
      </c>
      <c r="D138" t="s" s="4">
        <v>357</v>
      </c>
      <c r="E138" t="s" s="4">
        <v>360</v>
      </c>
      <c r="F138" t="s" s="4">
        <v>41</v>
      </c>
      <c r="G138" t="s" s="3">
        <v>13</v>
      </c>
    </row>
    <row r="139" ht="16.05" customHeight="1">
      <c r="A139" t="s" s="3">
        <v>361</v>
      </c>
      <c r="B139" t="s" s="4">
        <v>332</v>
      </c>
      <c r="C139" t="s" s="4">
        <v>348</v>
      </c>
      <c r="D139" t="s" s="4">
        <v>357</v>
      </c>
      <c r="E139" t="s" s="4">
        <v>362</v>
      </c>
      <c r="F139" t="s" s="4">
        <v>41</v>
      </c>
      <c r="G139" t="s" s="3">
        <v>13</v>
      </c>
    </row>
    <row r="140" ht="16.05" customHeight="1">
      <c r="A140" t="s" s="3">
        <v>363</v>
      </c>
      <c r="B140" t="s" s="4">
        <v>332</v>
      </c>
      <c r="C140" t="s" s="4">
        <v>348</v>
      </c>
      <c r="D140" t="s" s="4">
        <v>364</v>
      </c>
      <c r="E140" t="s" s="4">
        <v>365</v>
      </c>
      <c r="F140" t="s" s="4">
        <v>41</v>
      </c>
      <c r="G140" t="s" s="3">
        <v>13</v>
      </c>
    </row>
    <row r="141" ht="28.95" customHeight="1">
      <c r="A141" t="s" s="3">
        <v>366</v>
      </c>
      <c r="B141" t="s" s="4">
        <v>332</v>
      </c>
      <c r="C141" t="s" s="4">
        <v>348</v>
      </c>
      <c r="D141" t="s" s="4">
        <v>367</v>
      </c>
      <c r="E141" t="s" s="4">
        <v>368</v>
      </c>
      <c r="F141" t="s" s="4">
        <v>12</v>
      </c>
      <c r="G141" t="s" s="3">
        <v>69</v>
      </c>
    </row>
    <row r="142" ht="28.95" customHeight="1">
      <c r="A142" t="s" s="3">
        <v>369</v>
      </c>
      <c r="B142" t="s" s="4">
        <v>332</v>
      </c>
      <c r="C142" t="s" s="4">
        <v>348</v>
      </c>
      <c r="D142" t="s" s="4">
        <v>367</v>
      </c>
      <c r="E142" t="s" s="4">
        <v>370</v>
      </c>
      <c r="F142" t="s" s="4">
        <v>19</v>
      </c>
      <c r="G142" t="s" s="3">
        <v>69</v>
      </c>
    </row>
    <row r="143" ht="16.05" customHeight="1">
      <c r="A143" t="s" s="3">
        <v>371</v>
      </c>
      <c r="B143" t="s" s="4">
        <v>332</v>
      </c>
      <c r="C143" t="s" s="4">
        <v>348</v>
      </c>
      <c r="D143" t="s" s="4">
        <v>372</v>
      </c>
      <c r="E143" t="s" s="4">
        <v>373</v>
      </c>
      <c r="F143" t="s" s="4">
        <v>12</v>
      </c>
      <c r="G143" t="s" s="3">
        <v>13</v>
      </c>
    </row>
    <row r="144" ht="16.05" customHeight="1">
      <c r="A144" t="s" s="3">
        <v>374</v>
      </c>
      <c r="B144" t="s" s="4">
        <v>332</v>
      </c>
      <c r="C144" t="s" s="4">
        <v>348</v>
      </c>
      <c r="D144" t="s" s="4">
        <v>372</v>
      </c>
      <c r="E144" t="s" s="4">
        <v>375</v>
      </c>
      <c r="F144" t="s" s="4">
        <v>19</v>
      </c>
      <c r="G144" t="s" s="3">
        <v>13</v>
      </c>
    </row>
    <row r="145" ht="16.05" customHeight="1">
      <c r="A145" t="s" s="3">
        <v>376</v>
      </c>
      <c r="B145" t="s" s="4">
        <v>332</v>
      </c>
      <c r="C145" t="s" s="4">
        <v>348</v>
      </c>
      <c r="D145" t="s" s="4">
        <v>372</v>
      </c>
      <c r="E145" t="s" s="4">
        <v>377</v>
      </c>
      <c r="F145" t="s" s="4">
        <v>41</v>
      </c>
      <c r="G145" t="s" s="3">
        <v>13</v>
      </c>
    </row>
    <row r="146" ht="16.05" customHeight="1">
      <c r="A146" t="s" s="3">
        <v>378</v>
      </c>
      <c r="B146" t="s" s="4">
        <v>332</v>
      </c>
      <c r="C146" t="s" s="4">
        <v>348</v>
      </c>
      <c r="D146" t="s" s="4">
        <v>372</v>
      </c>
      <c r="E146" t="s" s="4">
        <v>379</v>
      </c>
      <c r="F146" t="s" s="4">
        <v>41</v>
      </c>
      <c r="G146" t="s" s="3">
        <v>13</v>
      </c>
    </row>
    <row r="147" ht="16.05" customHeight="1">
      <c r="A147" t="s" s="3">
        <v>380</v>
      </c>
      <c r="B147" t="s" s="4">
        <v>332</v>
      </c>
      <c r="C147" t="s" s="4">
        <v>348</v>
      </c>
      <c r="D147" t="s" s="4">
        <v>372</v>
      </c>
      <c r="E147" t="s" s="4">
        <v>381</v>
      </c>
      <c r="F147" t="s" s="4">
        <v>12</v>
      </c>
      <c r="G147" t="s" s="3">
        <v>13</v>
      </c>
    </row>
    <row r="148" ht="16.05" customHeight="1">
      <c r="A148" t="s" s="3">
        <v>382</v>
      </c>
      <c r="B148" t="s" s="4">
        <v>332</v>
      </c>
      <c r="C148" t="s" s="4">
        <v>348</v>
      </c>
      <c r="D148" t="s" s="4">
        <v>383</v>
      </c>
      <c r="E148" t="s" s="4">
        <v>384</v>
      </c>
      <c r="F148" t="s" s="4">
        <v>22</v>
      </c>
      <c r="G148" t="s" s="3">
        <v>13</v>
      </c>
    </row>
    <row r="149" ht="28.95" customHeight="1">
      <c r="A149" t="s" s="3">
        <v>385</v>
      </c>
      <c r="B149" t="s" s="4">
        <v>332</v>
      </c>
      <c r="C149" t="s" s="4">
        <v>348</v>
      </c>
      <c r="D149" t="s" s="4">
        <v>386</v>
      </c>
      <c r="E149" t="s" s="4">
        <v>387</v>
      </c>
      <c r="F149" t="s" s="4">
        <v>41</v>
      </c>
      <c r="G149" t="s" s="3">
        <v>69</v>
      </c>
    </row>
    <row r="150" ht="16.05" customHeight="1">
      <c r="A150" t="s" s="3">
        <v>388</v>
      </c>
      <c r="B150" t="s" s="4">
        <v>332</v>
      </c>
      <c r="C150" t="s" s="4">
        <v>348</v>
      </c>
      <c r="D150" t="s" s="4">
        <v>389</v>
      </c>
      <c r="E150" t="s" s="4">
        <v>390</v>
      </c>
      <c r="F150" t="s" s="4">
        <v>32</v>
      </c>
      <c r="G150" t="s" s="3">
        <v>13</v>
      </c>
    </row>
    <row r="151" ht="16.05" customHeight="1">
      <c r="A151" t="s" s="3">
        <v>391</v>
      </c>
      <c r="B151" t="s" s="4">
        <v>392</v>
      </c>
      <c r="C151" t="s" s="4">
        <v>393</v>
      </c>
      <c r="D151" t="s" s="4">
        <v>357</v>
      </c>
      <c r="E151" t="s" s="4">
        <v>394</v>
      </c>
      <c r="F151" t="s" s="4">
        <v>41</v>
      </c>
      <c r="G151" t="s" s="3">
        <v>13</v>
      </c>
    </row>
    <row r="152" ht="16.05" customHeight="1">
      <c r="A152" t="s" s="3">
        <v>395</v>
      </c>
      <c r="B152" t="s" s="4">
        <v>392</v>
      </c>
      <c r="C152" t="s" s="4">
        <v>393</v>
      </c>
      <c r="D152" t="s" s="4">
        <v>396</v>
      </c>
      <c r="E152" t="s" s="4">
        <v>397</v>
      </c>
      <c r="F152" t="s" s="4">
        <v>12</v>
      </c>
      <c r="G152" t="s" s="3">
        <v>13</v>
      </c>
    </row>
    <row r="153" ht="28.95" customHeight="1">
      <c r="A153" t="s" s="3">
        <v>398</v>
      </c>
      <c r="B153" t="s" s="4">
        <v>392</v>
      </c>
      <c r="C153" t="s" s="4">
        <v>393</v>
      </c>
      <c r="D153" t="s" s="4">
        <v>396</v>
      </c>
      <c r="E153" t="s" s="4">
        <v>399</v>
      </c>
      <c r="F153" t="s" s="4">
        <v>41</v>
      </c>
      <c r="G153" t="s" s="3">
        <v>13</v>
      </c>
    </row>
    <row r="154" ht="16.05" customHeight="1">
      <c r="A154" t="s" s="3">
        <v>400</v>
      </c>
      <c r="B154" t="s" s="4">
        <v>392</v>
      </c>
      <c r="C154" t="s" s="4">
        <v>393</v>
      </c>
      <c r="D154" t="s" s="4">
        <v>396</v>
      </c>
      <c r="E154" t="s" s="4">
        <v>401</v>
      </c>
      <c r="F154" t="s" s="4">
        <v>12</v>
      </c>
      <c r="G154" t="s" s="3">
        <v>13</v>
      </c>
    </row>
    <row r="155" ht="28.95" customHeight="1">
      <c r="A155" t="s" s="3">
        <v>402</v>
      </c>
      <c r="B155" t="s" s="4">
        <v>392</v>
      </c>
      <c r="C155" t="s" s="4">
        <v>393</v>
      </c>
      <c r="D155" t="s" s="4">
        <v>403</v>
      </c>
      <c r="E155" t="s" s="4">
        <v>404</v>
      </c>
      <c r="F155" t="s" s="4">
        <v>12</v>
      </c>
      <c r="G155" t="s" s="3">
        <v>13</v>
      </c>
    </row>
    <row r="156" ht="28.95" customHeight="1">
      <c r="A156" t="s" s="3">
        <v>405</v>
      </c>
      <c r="B156" t="s" s="4">
        <v>392</v>
      </c>
      <c r="C156" t="s" s="4">
        <v>393</v>
      </c>
      <c r="D156" t="s" s="4">
        <v>403</v>
      </c>
      <c r="E156" t="s" s="4">
        <v>406</v>
      </c>
      <c r="F156" t="s" s="4">
        <v>41</v>
      </c>
      <c r="G156" t="s" s="3">
        <v>13</v>
      </c>
    </row>
    <row r="157" ht="28.95" customHeight="1">
      <c r="A157" t="s" s="3">
        <v>407</v>
      </c>
      <c r="B157" t="s" s="4">
        <v>392</v>
      </c>
      <c r="C157" t="s" s="4">
        <v>393</v>
      </c>
      <c r="D157" t="s" s="4">
        <v>403</v>
      </c>
      <c r="E157" t="s" s="4">
        <v>408</v>
      </c>
      <c r="F157" t="s" s="4">
        <v>12</v>
      </c>
      <c r="G157" t="s" s="3">
        <v>13</v>
      </c>
    </row>
    <row r="158" ht="28.95" customHeight="1">
      <c r="A158" t="s" s="3">
        <v>409</v>
      </c>
      <c r="B158" t="s" s="4">
        <v>392</v>
      </c>
      <c r="C158" t="s" s="4">
        <v>393</v>
      </c>
      <c r="D158" t="s" s="4">
        <v>403</v>
      </c>
      <c r="E158" t="s" s="4">
        <v>410</v>
      </c>
      <c r="F158" t="s" s="4">
        <v>32</v>
      </c>
      <c r="G158" t="s" s="3">
        <v>13</v>
      </c>
    </row>
    <row r="159" ht="28.95" customHeight="1">
      <c r="A159" t="s" s="3">
        <v>411</v>
      </c>
      <c r="B159" t="s" s="4">
        <v>392</v>
      </c>
      <c r="C159" t="s" s="4">
        <v>393</v>
      </c>
      <c r="D159" t="s" s="4">
        <v>403</v>
      </c>
      <c r="E159" t="s" s="4">
        <v>412</v>
      </c>
      <c r="F159" t="s" s="4">
        <v>12</v>
      </c>
      <c r="G159" t="s" s="3">
        <v>13</v>
      </c>
    </row>
    <row r="160" ht="16.05" customHeight="1">
      <c r="A160" t="s" s="3">
        <v>413</v>
      </c>
      <c r="B160" t="s" s="4">
        <v>392</v>
      </c>
      <c r="C160" t="s" s="4">
        <v>393</v>
      </c>
      <c r="D160" t="s" s="4">
        <v>246</v>
      </c>
      <c r="E160" t="s" s="4">
        <v>414</v>
      </c>
      <c r="F160" t="s" s="4">
        <v>41</v>
      </c>
      <c r="G160" t="s" s="3">
        <v>13</v>
      </c>
    </row>
    <row r="161" ht="16.05" customHeight="1">
      <c r="A161" t="s" s="3">
        <v>415</v>
      </c>
      <c r="B161" t="s" s="4">
        <v>392</v>
      </c>
      <c r="C161" t="s" s="4">
        <v>416</v>
      </c>
      <c r="D161" t="s" s="4">
        <v>417</v>
      </c>
      <c r="E161" t="s" s="4">
        <v>418</v>
      </c>
      <c r="F161" t="s" s="4">
        <v>22</v>
      </c>
      <c r="G161" t="s" s="3">
        <v>13</v>
      </c>
    </row>
    <row r="162" ht="16.05" customHeight="1">
      <c r="A162" t="s" s="3">
        <v>419</v>
      </c>
      <c r="B162" t="s" s="4">
        <v>392</v>
      </c>
      <c r="C162" t="s" s="4">
        <v>416</v>
      </c>
      <c r="D162" t="s" s="4">
        <v>417</v>
      </c>
      <c r="E162" t="s" s="4">
        <v>420</v>
      </c>
      <c r="F162" t="s" s="4">
        <v>41</v>
      </c>
      <c r="G162" t="s" s="3">
        <v>13</v>
      </c>
    </row>
    <row r="163" ht="16.05" customHeight="1">
      <c r="A163" t="s" s="3">
        <v>421</v>
      </c>
      <c r="B163" t="s" s="4">
        <v>392</v>
      </c>
      <c r="C163" t="s" s="4">
        <v>416</v>
      </c>
      <c r="D163" t="s" s="4">
        <v>417</v>
      </c>
      <c r="E163" t="s" s="4">
        <v>422</v>
      </c>
      <c r="F163" t="s" s="4">
        <v>44</v>
      </c>
      <c r="G163" t="s" s="3">
        <v>13</v>
      </c>
    </row>
    <row r="164" ht="16.05" customHeight="1">
      <c r="A164" t="s" s="3">
        <v>423</v>
      </c>
      <c r="B164" t="s" s="4">
        <v>392</v>
      </c>
      <c r="C164" t="s" s="4">
        <v>392</v>
      </c>
      <c r="D164" t="s" s="4">
        <v>424</v>
      </c>
      <c r="E164" t="s" s="4">
        <v>425</v>
      </c>
      <c r="F164" t="s" s="4">
        <v>32</v>
      </c>
      <c r="G164" t="s" s="3">
        <v>13</v>
      </c>
    </row>
    <row r="165" ht="16.05" customHeight="1">
      <c r="A165" t="s" s="3">
        <v>426</v>
      </c>
      <c r="B165" t="s" s="4">
        <v>392</v>
      </c>
      <c r="C165" t="s" s="4">
        <v>392</v>
      </c>
      <c r="D165" t="s" s="4">
        <v>129</v>
      </c>
      <c r="E165" t="s" s="4">
        <v>427</v>
      </c>
      <c r="F165" t="s" s="4">
        <v>32</v>
      </c>
      <c r="G165" t="s" s="3">
        <v>13</v>
      </c>
    </row>
    <row r="166" ht="16.05" customHeight="1">
      <c r="A166" t="s" s="3">
        <v>428</v>
      </c>
      <c r="B166" t="s" s="4">
        <v>392</v>
      </c>
      <c r="C166" t="s" s="4">
        <v>392</v>
      </c>
      <c r="D166" t="s" s="4">
        <v>270</v>
      </c>
      <c r="E166" t="s" s="4">
        <v>429</v>
      </c>
      <c r="F166" t="s" s="4">
        <v>12</v>
      </c>
      <c r="G166" t="s" s="3">
        <v>13</v>
      </c>
    </row>
    <row r="167" ht="16.05" customHeight="1">
      <c r="A167" t="s" s="3">
        <v>430</v>
      </c>
      <c r="B167" t="s" s="4">
        <v>392</v>
      </c>
      <c r="C167" t="s" s="4">
        <v>392</v>
      </c>
      <c r="D167" t="s" s="4">
        <v>270</v>
      </c>
      <c r="E167" t="s" s="4">
        <v>431</v>
      </c>
      <c r="F167" t="s" s="4">
        <v>12</v>
      </c>
      <c r="G167" t="s" s="3">
        <v>13</v>
      </c>
    </row>
    <row r="168" ht="16.05" customHeight="1">
      <c r="A168" t="s" s="3">
        <v>432</v>
      </c>
      <c r="B168" t="s" s="4">
        <v>433</v>
      </c>
      <c r="C168" t="s" s="4">
        <v>434</v>
      </c>
      <c r="D168" t="s" s="4">
        <v>435</v>
      </c>
      <c r="E168" t="s" s="4">
        <v>436</v>
      </c>
      <c r="F168" t="s" s="4">
        <v>12</v>
      </c>
      <c r="G168" t="s" s="3">
        <v>13</v>
      </c>
    </row>
    <row r="169" ht="16.05" customHeight="1">
      <c r="A169" t="s" s="3">
        <v>437</v>
      </c>
      <c r="B169" t="s" s="4">
        <v>433</v>
      </c>
      <c r="C169" t="s" s="4">
        <v>434</v>
      </c>
      <c r="D169" t="s" s="4">
        <v>435</v>
      </c>
      <c r="E169" t="s" s="4">
        <v>438</v>
      </c>
      <c r="F169" t="s" s="4">
        <v>44</v>
      </c>
      <c r="G169" t="s" s="3">
        <v>13</v>
      </c>
    </row>
    <row r="170" ht="16.05" customHeight="1">
      <c r="A170" t="s" s="3">
        <v>439</v>
      </c>
      <c r="B170" t="s" s="4">
        <v>433</v>
      </c>
      <c r="C170" t="s" s="4">
        <v>440</v>
      </c>
      <c r="D170" t="s" s="4">
        <v>441</v>
      </c>
      <c r="E170" t="s" s="4">
        <v>442</v>
      </c>
      <c r="F170" t="s" s="4">
        <v>12</v>
      </c>
      <c r="G170" t="s" s="3">
        <v>13</v>
      </c>
    </row>
    <row r="171" ht="16.05" customHeight="1">
      <c r="A171" t="s" s="3">
        <v>443</v>
      </c>
      <c r="B171" t="s" s="4">
        <v>433</v>
      </c>
      <c r="C171" t="s" s="4">
        <v>440</v>
      </c>
      <c r="D171" t="s" s="4">
        <v>441</v>
      </c>
      <c r="E171" t="s" s="4">
        <v>444</v>
      </c>
      <c r="F171" t="s" s="4">
        <v>12</v>
      </c>
      <c r="G171" t="s" s="3">
        <v>13</v>
      </c>
    </row>
    <row r="172" ht="16.05" customHeight="1">
      <c r="A172" t="s" s="3">
        <v>445</v>
      </c>
      <c r="B172" t="s" s="4">
        <v>433</v>
      </c>
      <c r="C172" t="s" s="4">
        <v>440</v>
      </c>
      <c r="D172" t="s" s="4">
        <v>85</v>
      </c>
      <c r="E172" t="s" s="4">
        <v>446</v>
      </c>
      <c r="F172" t="s" s="4">
        <v>44</v>
      </c>
      <c r="G172" t="s" s="3">
        <v>13</v>
      </c>
    </row>
    <row r="173" ht="16.05" customHeight="1">
      <c r="A173" t="s" s="3">
        <v>447</v>
      </c>
      <c r="B173" t="s" s="4">
        <v>433</v>
      </c>
      <c r="C173" t="s" s="4">
        <v>440</v>
      </c>
      <c r="D173" t="s" s="4">
        <v>448</v>
      </c>
      <c r="E173" t="s" s="4">
        <v>449</v>
      </c>
      <c r="F173" t="s" s="4">
        <v>12</v>
      </c>
      <c r="G173" t="s" s="3">
        <v>13</v>
      </c>
    </row>
    <row r="174" ht="16.05" customHeight="1">
      <c r="A174" t="s" s="3">
        <v>450</v>
      </c>
      <c r="B174" t="s" s="4">
        <v>433</v>
      </c>
      <c r="C174" t="s" s="4">
        <v>440</v>
      </c>
      <c r="D174" t="s" s="4">
        <v>448</v>
      </c>
      <c r="E174" t="s" s="4">
        <v>451</v>
      </c>
      <c r="F174" t="s" s="4">
        <v>12</v>
      </c>
      <c r="G174" t="s" s="3">
        <v>13</v>
      </c>
    </row>
    <row r="175" ht="16.05" customHeight="1">
      <c r="A175" t="s" s="3">
        <v>452</v>
      </c>
      <c r="B175" t="s" s="4">
        <v>433</v>
      </c>
      <c r="C175" t="s" s="4">
        <v>440</v>
      </c>
      <c r="D175" t="s" s="4">
        <v>448</v>
      </c>
      <c r="E175" t="s" s="4">
        <v>453</v>
      </c>
      <c r="F175" t="s" s="4">
        <v>22</v>
      </c>
      <c r="G175" t="s" s="3">
        <v>13</v>
      </c>
    </row>
    <row r="176" ht="16.05" customHeight="1">
      <c r="A176" t="s" s="3">
        <v>454</v>
      </c>
      <c r="B176" t="s" s="4">
        <v>433</v>
      </c>
      <c r="C176" t="s" s="4">
        <v>440</v>
      </c>
      <c r="D176" t="s" s="4">
        <v>179</v>
      </c>
      <c r="E176" t="s" s="4">
        <v>455</v>
      </c>
      <c r="F176" t="s" s="4">
        <v>22</v>
      </c>
      <c r="G176" t="s" s="3">
        <v>13</v>
      </c>
    </row>
    <row r="177" ht="16.05" customHeight="1">
      <c r="A177" t="s" s="3">
        <v>456</v>
      </c>
      <c r="B177" t="s" s="4">
        <v>433</v>
      </c>
      <c r="C177" t="s" s="4">
        <v>440</v>
      </c>
      <c r="D177" t="s" s="4">
        <v>237</v>
      </c>
      <c r="E177" t="s" s="4">
        <v>457</v>
      </c>
      <c r="F177" t="s" s="4">
        <v>12</v>
      </c>
      <c r="G177" t="s" s="3">
        <v>13</v>
      </c>
    </row>
    <row r="178" ht="16.05" customHeight="1">
      <c r="A178" t="s" s="3">
        <v>458</v>
      </c>
      <c r="B178" t="s" s="4">
        <v>433</v>
      </c>
      <c r="C178" t="s" s="4">
        <v>440</v>
      </c>
      <c r="D178" t="s" s="4">
        <v>459</v>
      </c>
      <c r="E178" t="s" s="4">
        <v>460</v>
      </c>
      <c r="F178" t="s" s="4">
        <v>12</v>
      </c>
      <c r="G178" t="s" s="3">
        <v>13</v>
      </c>
    </row>
    <row r="179" ht="16.05" customHeight="1">
      <c r="A179" t="s" s="3">
        <v>461</v>
      </c>
      <c r="B179" t="s" s="4">
        <v>433</v>
      </c>
      <c r="C179" t="s" s="4">
        <v>440</v>
      </c>
      <c r="D179" t="s" s="4">
        <v>462</v>
      </c>
      <c r="E179" t="s" s="4">
        <v>463</v>
      </c>
      <c r="F179" t="s" s="4">
        <v>22</v>
      </c>
      <c r="G179" t="s" s="3">
        <v>13</v>
      </c>
    </row>
    <row r="180" ht="16.05" customHeight="1">
      <c r="A180" t="s" s="3">
        <v>464</v>
      </c>
      <c r="B180" t="s" s="4">
        <v>433</v>
      </c>
      <c r="C180" t="s" s="4">
        <v>440</v>
      </c>
      <c r="D180" t="s" s="4">
        <v>465</v>
      </c>
      <c r="E180" t="s" s="4">
        <v>466</v>
      </c>
      <c r="F180" t="s" s="4">
        <v>22</v>
      </c>
      <c r="G180" t="s" s="3">
        <v>13</v>
      </c>
    </row>
    <row r="181" ht="16.05" customHeight="1">
      <c r="A181" t="s" s="3">
        <v>467</v>
      </c>
      <c r="B181" t="s" s="4">
        <v>433</v>
      </c>
      <c r="C181" t="s" s="4">
        <v>440</v>
      </c>
      <c r="D181" t="s" s="4">
        <v>465</v>
      </c>
      <c r="E181" t="s" s="4">
        <v>468</v>
      </c>
      <c r="F181" t="s" s="4">
        <v>12</v>
      </c>
      <c r="G181" t="s" s="3">
        <v>13</v>
      </c>
    </row>
    <row r="182" ht="16.05" customHeight="1">
      <c r="A182" t="s" s="3">
        <v>469</v>
      </c>
      <c r="B182" t="s" s="4">
        <v>433</v>
      </c>
      <c r="C182" t="s" s="4">
        <v>470</v>
      </c>
      <c r="D182" t="s" s="4">
        <v>471</v>
      </c>
      <c r="E182" t="s" s="4">
        <v>472</v>
      </c>
      <c r="F182" t="s" s="4">
        <v>22</v>
      </c>
      <c r="G182" t="s" s="3">
        <v>13</v>
      </c>
    </row>
    <row r="183" ht="16.05" customHeight="1">
      <c r="A183" t="s" s="3">
        <v>473</v>
      </c>
      <c r="B183" t="s" s="4">
        <v>433</v>
      </c>
      <c r="C183" t="s" s="4">
        <v>470</v>
      </c>
      <c r="D183" t="s" s="4">
        <v>471</v>
      </c>
      <c r="E183" t="s" s="4">
        <v>474</v>
      </c>
      <c r="F183" t="s" s="4">
        <v>22</v>
      </c>
      <c r="G183" t="s" s="3">
        <v>13</v>
      </c>
    </row>
    <row r="184" ht="16.05" customHeight="1">
      <c r="A184" t="s" s="3">
        <v>475</v>
      </c>
      <c r="B184" t="s" s="4">
        <v>433</v>
      </c>
      <c r="C184" t="s" s="4">
        <v>470</v>
      </c>
      <c r="D184" t="s" s="4">
        <v>471</v>
      </c>
      <c r="E184" t="s" s="4">
        <v>476</v>
      </c>
      <c r="F184" t="s" s="4">
        <v>22</v>
      </c>
      <c r="G184" t="s" s="3">
        <v>13</v>
      </c>
    </row>
    <row r="185" ht="16.05" customHeight="1">
      <c r="A185" t="s" s="3">
        <v>477</v>
      </c>
      <c r="B185" t="s" s="4">
        <v>478</v>
      </c>
      <c r="C185" t="s" s="4">
        <v>478</v>
      </c>
      <c r="D185" t="s" s="4">
        <v>479</v>
      </c>
      <c r="E185" t="s" s="4">
        <v>480</v>
      </c>
      <c r="F185" t="s" s="4">
        <v>12</v>
      </c>
      <c r="G185" t="s" s="3">
        <v>13</v>
      </c>
    </row>
    <row r="186" ht="16.05" customHeight="1">
      <c r="A186" t="s" s="3">
        <v>481</v>
      </c>
      <c r="B186" t="s" s="4">
        <v>478</v>
      </c>
      <c r="C186" t="s" s="4">
        <v>478</v>
      </c>
      <c r="D186" t="s" s="4">
        <v>482</v>
      </c>
      <c r="E186" t="s" s="4">
        <v>483</v>
      </c>
      <c r="F186" t="s" s="4">
        <v>12</v>
      </c>
      <c r="G186" t="s" s="3">
        <v>13</v>
      </c>
    </row>
    <row r="187" ht="16.05" customHeight="1">
      <c r="A187" t="s" s="3">
        <v>484</v>
      </c>
      <c r="B187" t="s" s="4">
        <v>478</v>
      </c>
      <c r="C187" t="s" s="4">
        <v>478</v>
      </c>
      <c r="D187" t="s" s="4">
        <v>485</v>
      </c>
      <c r="E187" t="s" s="4">
        <v>486</v>
      </c>
      <c r="F187" t="s" s="4">
        <v>12</v>
      </c>
      <c r="G187" t="s" s="3">
        <v>13</v>
      </c>
    </row>
    <row r="188" ht="16.05" customHeight="1">
      <c r="A188" t="s" s="3">
        <v>487</v>
      </c>
      <c r="B188" t="s" s="4">
        <v>478</v>
      </c>
      <c r="C188" t="s" s="4">
        <v>478</v>
      </c>
      <c r="D188" t="s" s="4">
        <v>488</v>
      </c>
      <c r="E188" t="s" s="4">
        <v>489</v>
      </c>
      <c r="F188" t="s" s="4">
        <v>12</v>
      </c>
      <c r="G188" t="s" s="3">
        <v>13</v>
      </c>
    </row>
    <row r="189" ht="16.05" customHeight="1">
      <c r="A189" t="s" s="3">
        <v>490</v>
      </c>
      <c r="B189" t="s" s="4">
        <v>478</v>
      </c>
      <c r="C189" t="s" s="4">
        <v>478</v>
      </c>
      <c r="D189" t="s" s="4">
        <v>491</v>
      </c>
      <c r="E189" t="s" s="4">
        <v>492</v>
      </c>
      <c r="F189" t="s" s="4">
        <v>12</v>
      </c>
      <c r="G189" t="s" s="3">
        <v>13</v>
      </c>
    </row>
    <row r="190" ht="16.05" customHeight="1">
      <c r="A190" t="s" s="3">
        <v>493</v>
      </c>
      <c r="B190" t="s" s="4">
        <v>478</v>
      </c>
      <c r="C190" t="s" s="4">
        <v>478</v>
      </c>
      <c r="D190" t="s" s="4">
        <v>491</v>
      </c>
      <c r="E190" t="s" s="4">
        <v>494</v>
      </c>
      <c r="F190" t="s" s="4">
        <v>22</v>
      </c>
      <c r="G190" t="s" s="3">
        <v>13</v>
      </c>
    </row>
    <row r="191" ht="16.05" customHeight="1">
      <c r="A191" t="s" s="3">
        <v>495</v>
      </c>
      <c r="B191" t="s" s="4">
        <v>478</v>
      </c>
      <c r="C191" t="s" s="4">
        <v>478</v>
      </c>
      <c r="D191" t="s" s="4">
        <v>448</v>
      </c>
      <c r="E191" t="s" s="4">
        <v>496</v>
      </c>
      <c r="F191" t="s" s="4">
        <v>12</v>
      </c>
      <c r="G191" t="s" s="3">
        <v>13</v>
      </c>
    </row>
    <row r="192" ht="16.05" customHeight="1">
      <c r="A192" t="s" s="3">
        <v>497</v>
      </c>
      <c r="B192" t="s" s="4">
        <v>478</v>
      </c>
      <c r="C192" t="s" s="4">
        <v>478</v>
      </c>
      <c r="D192" t="s" s="4">
        <v>448</v>
      </c>
      <c r="E192" t="s" s="4">
        <v>498</v>
      </c>
      <c r="F192" t="s" s="4">
        <v>12</v>
      </c>
      <c r="G192" t="s" s="3">
        <v>13</v>
      </c>
    </row>
    <row r="193" ht="16.05" customHeight="1">
      <c r="A193" t="s" s="3">
        <v>499</v>
      </c>
      <c r="B193" t="s" s="4">
        <v>478</v>
      </c>
      <c r="C193" t="s" s="4">
        <v>478</v>
      </c>
      <c r="D193" t="s" s="4">
        <v>500</v>
      </c>
      <c r="E193" t="s" s="4">
        <v>501</v>
      </c>
      <c r="F193" t="s" s="4">
        <v>22</v>
      </c>
      <c r="G193" t="s" s="3">
        <v>13</v>
      </c>
    </row>
    <row r="194" ht="16.05" customHeight="1">
      <c r="A194" t="s" s="3">
        <v>502</v>
      </c>
      <c r="B194" t="s" s="4">
        <v>478</v>
      </c>
      <c r="C194" t="s" s="4">
        <v>478</v>
      </c>
      <c r="D194" t="s" s="4">
        <v>503</v>
      </c>
      <c r="E194" t="s" s="4">
        <v>504</v>
      </c>
      <c r="F194" t="s" s="4">
        <v>12</v>
      </c>
      <c r="G194" t="s" s="3">
        <v>13</v>
      </c>
    </row>
    <row r="195" ht="16.05" customHeight="1">
      <c r="A195" t="s" s="3">
        <v>505</v>
      </c>
      <c r="B195" t="s" s="4">
        <v>478</v>
      </c>
      <c r="C195" t="s" s="4">
        <v>478</v>
      </c>
      <c r="D195" t="s" s="4">
        <v>503</v>
      </c>
      <c r="E195" t="s" s="4">
        <v>506</v>
      </c>
      <c r="F195" t="s" s="4">
        <v>12</v>
      </c>
      <c r="G195" t="s" s="3">
        <v>13</v>
      </c>
    </row>
    <row r="196" ht="16.05" customHeight="1">
      <c r="A196" t="s" s="3">
        <v>507</v>
      </c>
      <c r="B196" t="s" s="4">
        <v>478</v>
      </c>
      <c r="C196" t="s" s="4">
        <v>478</v>
      </c>
      <c r="D196" t="s" s="4">
        <v>508</v>
      </c>
      <c r="E196" t="s" s="4">
        <v>509</v>
      </c>
      <c r="F196" t="s" s="4">
        <v>12</v>
      </c>
      <c r="G196" t="s" s="3">
        <v>13</v>
      </c>
    </row>
    <row r="197" ht="16.05" customHeight="1">
      <c r="A197" t="s" s="3">
        <v>510</v>
      </c>
      <c r="B197" t="s" s="4">
        <v>478</v>
      </c>
      <c r="C197" t="s" s="4">
        <v>478</v>
      </c>
      <c r="D197" t="s" s="4">
        <v>150</v>
      </c>
      <c r="E197" t="s" s="4">
        <v>511</v>
      </c>
      <c r="F197" t="s" s="4">
        <v>22</v>
      </c>
      <c r="G197" t="s" s="3">
        <v>13</v>
      </c>
    </row>
    <row r="198" ht="16.05" customHeight="1">
      <c r="A198" t="s" s="3">
        <v>512</v>
      </c>
      <c r="B198" t="s" s="4">
        <v>513</v>
      </c>
      <c r="C198" t="s" s="4">
        <v>514</v>
      </c>
      <c r="D198" t="s" s="4">
        <v>515</v>
      </c>
      <c r="E198" t="s" s="4">
        <v>516</v>
      </c>
      <c r="F198" t="s" s="4">
        <v>12</v>
      </c>
      <c r="G198" t="s" s="3">
        <v>13</v>
      </c>
    </row>
    <row r="199" ht="16.05" customHeight="1">
      <c r="A199" t="s" s="3">
        <v>517</v>
      </c>
      <c r="B199" t="s" s="4">
        <v>513</v>
      </c>
      <c r="C199" t="s" s="4">
        <v>514</v>
      </c>
      <c r="D199" t="s" s="4">
        <v>515</v>
      </c>
      <c r="E199" t="s" s="4">
        <v>518</v>
      </c>
      <c r="F199" t="s" s="4">
        <v>19</v>
      </c>
      <c r="G199" t="s" s="3">
        <v>13</v>
      </c>
    </row>
    <row r="200" ht="16.05" customHeight="1">
      <c r="A200" t="s" s="3">
        <v>519</v>
      </c>
      <c r="B200" t="s" s="4">
        <v>513</v>
      </c>
      <c r="C200" t="s" s="4">
        <v>520</v>
      </c>
      <c r="D200" t="s" s="4">
        <v>521</v>
      </c>
      <c r="E200" t="s" s="4">
        <v>522</v>
      </c>
      <c r="F200" t="s" s="4">
        <v>12</v>
      </c>
      <c r="G200" t="s" s="3">
        <v>13</v>
      </c>
    </row>
    <row r="201" ht="16.05" customHeight="1">
      <c r="A201" t="s" s="3">
        <v>523</v>
      </c>
      <c r="B201" t="s" s="4">
        <v>513</v>
      </c>
      <c r="C201" t="s" s="4">
        <v>520</v>
      </c>
      <c r="D201" t="s" s="4">
        <v>521</v>
      </c>
      <c r="E201" t="s" s="4">
        <v>524</v>
      </c>
      <c r="F201" t="s" s="4">
        <v>22</v>
      </c>
      <c r="G201" t="s" s="3">
        <v>13</v>
      </c>
    </row>
    <row r="202" ht="16.05" customHeight="1">
      <c r="A202" t="s" s="3">
        <v>525</v>
      </c>
      <c r="B202" t="s" s="4">
        <v>513</v>
      </c>
      <c r="C202" t="s" s="4">
        <v>520</v>
      </c>
      <c r="D202" t="s" s="4">
        <v>526</v>
      </c>
      <c r="E202" t="s" s="4">
        <v>527</v>
      </c>
      <c r="F202" t="s" s="4">
        <v>12</v>
      </c>
      <c r="G202" t="s" s="3">
        <v>13</v>
      </c>
    </row>
    <row r="203" ht="16.05" customHeight="1">
      <c r="A203" t="s" s="3">
        <v>528</v>
      </c>
      <c r="B203" t="s" s="4">
        <v>513</v>
      </c>
      <c r="C203" t="s" s="4">
        <v>520</v>
      </c>
      <c r="D203" t="s" s="4">
        <v>526</v>
      </c>
      <c r="E203" t="s" s="4">
        <v>529</v>
      </c>
      <c r="F203" t="s" s="4">
        <v>22</v>
      </c>
      <c r="G203" t="s" s="3">
        <v>13</v>
      </c>
    </row>
    <row r="204" ht="16.05" customHeight="1">
      <c r="A204" t="s" s="3">
        <v>530</v>
      </c>
      <c r="B204" t="s" s="4">
        <v>513</v>
      </c>
      <c r="C204" t="s" s="4">
        <v>520</v>
      </c>
      <c r="D204" t="s" s="4">
        <v>526</v>
      </c>
      <c r="E204" t="s" s="4">
        <v>531</v>
      </c>
      <c r="F204" t="s" s="4">
        <v>22</v>
      </c>
      <c r="G204" t="s" s="3">
        <v>13</v>
      </c>
    </row>
    <row r="205" ht="28.95" customHeight="1">
      <c r="A205" t="s" s="3">
        <v>532</v>
      </c>
      <c r="B205" t="s" s="4">
        <v>533</v>
      </c>
      <c r="C205" t="s" s="4">
        <v>491</v>
      </c>
      <c r="D205" t="s" s="4">
        <v>79</v>
      </c>
      <c r="E205" t="s" s="4">
        <v>534</v>
      </c>
      <c r="F205" t="s" s="4">
        <v>12</v>
      </c>
      <c r="G205" t="s" s="3">
        <v>69</v>
      </c>
    </row>
    <row r="206" ht="28.95" customHeight="1">
      <c r="A206" t="s" s="3">
        <v>535</v>
      </c>
      <c r="B206" t="s" s="4">
        <v>533</v>
      </c>
      <c r="C206" t="s" s="4">
        <v>491</v>
      </c>
      <c r="D206" t="s" s="4">
        <v>536</v>
      </c>
      <c r="E206" t="s" s="4">
        <v>537</v>
      </c>
      <c r="F206" t="s" s="4">
        <v>41</v>
      </c>
      <c r="G206" t="s" s="3">
        <v>69</v>
      </c>
    </row>
    <row r="207" ht="16.05" customHeight="1">
      <c r="A207" t="s" s="3">
        <v>538</v>
      </c>
      <c r="B207" t="s" s="4">
        <v>533</v>
      </c>
      <c r="C207" t="s" s="4">
        <v>491</v>
      </c>
      <c r="D207" t="s" s="4">
        <v>448</v>
      </c>
      <c r="E207" t="s" s="4">
        <v>539</v>
      </c>
      <c r="F207" t="s" s="4">
        <v>12</v>
      </c>
      <c r="G207" t="s" s="3">
        <v>13</v>
      </c>
    </row>
    <row r="208" ht="28.95" customHeight="1">
      <c r="A208" t="s" s="3">
        <v>540</v>
      </c>
      <c r="B208" t="s" s="4">
        <v>533</v>
      </c>
      <c r="C208" t="s" s="4">
        <v>491</v>
      </c>
      <c r="D208" t="s" s="4">
        <v>541</v>
      </c>
      <c r="E208" t="s" s="4">
        <v>542</v>
      </c>
      <c r="F208" t="s" s="4">
        <v>41</v>
      </c>
      <c r="G208" t="s" s="3">
        <v>69</v>
      </c>
    </row>
    <row r="209" ht="28.95" customHeight="1">
      <c r="A209" t="s" s="3">
        <v>543</v>
      </c>
      <c r="B209" t="s" s="4">
        <v>533</v>
      </c>
      <c r="C209" t="s" s="4">
        <v>491</v>
      </c>
      <c r="D209" t="s" s="4">
        <v>544</v>
      </c>
      <c r="E209" t="s" s="4">
        <v>545</v>
      </c>
      <c r="F209" t="s" s="4">
        <v>41</v>
      </c>
      <c r="G209" t="s" s="3">
        <v>69</v>
      </c>
    </row>
    <row r="210" ht="16.05" customHeight="1">
      <c r="A210" t="s" s="3">
        <v>546</v>
      </c>
      <c r="B210" t="s" s="4">
        <v>533</v>
      </c>
      <c r="C210" t="s" s="4">
        <v>24</v>
      </c>
      <c r="D210" t="s" s="4">
        <v>547</v>
      </c>
      <c r="E210" t="s" s="4">
        <v>548</v>
      </c>
      <c r="F210" t="s" s="4">
        <v>12</v>
      </c>
      <c r="G210" t="s" s="3">
        <v>13</v>
      </c>
    </row>
    <row r="211" ht="16.05" customHeight="1">
      <c r="A211" t="s" s="3">
        <v>549</v>
      </c>
      <c r="B211" t="s" s="4">
        <v>533</v>
      </c>
      <c r="C211" t="s" s="4">
        <v>24</v>
      </c>
      <c r="D211" t="s" s="4">
        <v>547</v>
      </c>
      <c r="E211" t="s" s="4">
        <v>550</v>
      </c>
      <c r="F211" t="s" s="4">
        <v>41</v>
      </c>
      <c r="G211" t="s" s="3">
        <v>13</v>
      </c>
    </row>
    <row r="212" ht="16.05" customHeight="1">
      <c r="A212" t="s" s="3">
        <v>551</v>
      </c>
      <c r="B212" t="s" s="4">
        <v>533</v>
      </c>
      <c r="C212" t="s" s="4">
        <v>24</v>
      </c>
      <c r="D212" t="s" s="4">
        <v>547</v>
      </c>
      <c r="E212" t="s" s="4">
        <v>552</v>
      </c>
      <c r="F212" t="s" s="4">
        <v>12</v>
      </c>
      <c r="G212" t="s" s="3">
        <v>13</v>
      </c>
    </row>
    <row r="213" ht="16.05" customHeight="1">
      <c r="A213" t="s" s="3">
        <v>553</v>
      </c>
      <c r="B213" t="s" s="4">
        <v>533</v>
      </c>
      <c r="C213" t="s" s="4">
        <v>24</v>
      </c>
      <c r="D213" t="s" s="4">
        <v>547</v>
      </c>
      <c r="E213" t="s" s="4">
        <v>554</v>
      </c>
      <c r="F213" t="s" s="4">
        <v>12</v>
      </c>
      <c r="G213" t="s" s="3">
        <v>13</v>
      </c>
    </row>
    <row r="214" ht="16.05" customHeight="1">
      <c r="A214" t="s" s="3">
        <v>555</v>
      </c>
      <c r="B214" t="s" s="4">
        <v>533</v>
      </c>
      <c r="C214" t="s" s="4">
        <v>24</v>
      </c>
      <c r="D214" t="s" s="4">
        <v>556</v>
      </c>
      <c r="E214" t="s" s="4">
        <v>557</v>
      </c>
      <c r="F214" t="s" s="4">
        <v>12</v>
      </c>
      <c r="G214" t="s" s="3">
        <v>13</v>
      </c>
    </row>
    <row r="215" ht="16.05" customHeight="1">
      <c r="A215" t="s" s="3">
        <v>558</v>
      </c>
      <c r="B215" t="s" s="4">
        <v>533</v>
      </c>
      <c r="C215" t="s" s="4">
        <v>24</v>
      </c>
      <c r="D215" t="s" s="4">
        <v>559</v>
      </c>
      <c r="E215" t="s" s="4">
        <v>560</v>
      </c>
      <c r="F215" t="s" s="4">
        <v>19</v>
      </c>
      <c r="G215" t="s" s="3">
        <v>13</v>
      </c>
    </row>
    <row r="216" ht="28.95" customHeight="1">
      <c r="A216" t="s" s="3">
        <v>561</v>
      </c>
      <c r="B216" t="s" s="4">
        <v>562</v>
      </c>
      <c r="C216" t="s" s="4">
        <v>563</v>
      </c>
      <c r="D216" t="s" s="4">
        <v>564</v>
      </c>
      <c r="E216" t="s" s="4">
        <v>565</v>
      </c>
      <c r="F216" t="s" s="4">
        <v>44</v>
      </c>
      <c r="G216" t="s" s="3">
        <v>13</v>
      </c>
    </row>
    <row r="217" ht="28.95" customHeight="1">
      <c r="A217" t="s" s="3">
        <v>566</v>
      </c>
      <c r="B217" t="s" s="4">
        <v>562</v>
      </c>
      <c r="C217" t="s" s="4">
        <v>567</v>
      </c>
      <c r="D217" t="s" s="4">
        <v>568</v>
      </c>
      <c r="E217" t="s" s="4">
        <v>569</v>
      </c>
      <c r="F217" t="s" s="4">
        <v>44</v>
      </c>
      <c r="G217" t="s" s="3">
        <v>13</v>
      </c>
    </row>
    <row r="218" ht="28.95" customHeight="1">
      <c r="A218" t="s" s="3">
        <v>570</v>
      </c>
      <c r="B218" t="s" s="4">
        <v>562</v>
      </c>
      <c r="C218" t="s" s="4">
        <v>571</v>
      </c>
      <c r="D218" t="s" s="4">
        <v>572</v>
      </c>
      <c r="E218" t="s" s="4">
        <v>573</v>
      </c>
      <c r="F218" t="s" s="4">
        <v>22</v>
      </c>
      <c r="G218" t="s" s="3">
        <v>13</v>
      </c>
    </row>
    <row r="219" ht="28.95" customHeight="1">
      <c r="A219" t="s" s="3">
        <v>574</v>
      </c>
      <c r="B219" t="s" s="4">
        <v>562</v>
      </c>
      <c r="C219" t="s" s="4">
        <v>129</v>
      </c>
      <c r="D219" t="s" s="4">
        <v>575</v>
      </c>
      <c r="E219" t="s" s="4">
        <v>576</v>
      </c>
      <c r="F219" t="s" s="4">
        <v>32</v>
      </c>
      <c r="G219" t="s" s="3">
        <v>13</v>
      </c>
    </row>
    <row r="220" ht="28.95" customHeight="1">
      <c r="A220" t="s" s="3">
        <v>577</v>
      </c>
      <c r="B220" t="s" s="4">
        <v>562</v>
      </c>
      <c r="C220" t="s" s="4">
        <v>129</v>
      </c>
      <c r="D220" t="s" s="4">
        <v>578</v>
      </c>
      <c r="E220" t="s" s="4">
        <v>579</v>
      </c>
      <c r="F220" t="s" s="4">
        <v>32</v>
      </c>
      <c r="G220" t="s" s="3">
        <v>13</v>
      </c>
    </row>
    <row r="221" ht="28.95" customHeight="1">
      <c r="A221" t="s" s="3">
        <v>580</v>
      </c>
      <c r="B221" t="s" s="4">
        <v>562</v>
      </c>
      <c r="C221" t="s" s="4">
        <v>581</v>
      </c>
      <c r="D221" t="s" s="4">
        <v>582</v>
      </c>
      <c r="E221" t="s" s="4">
        <v>583</v>
      </c>
      <c r="F221" t="s" s="4">
        <v>44</v>
      </c>
      <c r="G221" t="s" s="3">
        <v>13</v>
      </c>
    </row>
    <row r="222" ht="28.95" customHeight="1">
      <c r="A222" t="s" s="3">
        <v>584</v>
      </c>
      <c r="B222" t="s" s="4">
        <v>562</v>
      </c>
      <c r="C222" t="s" s="4">
        <v>581</v>
      </c>
      <c r="D222" t="s" s="4">
        <v>582</v>
      </c>
      <c r="E222" t="s" s="4">
        <v>585</v>
      </c>
      <c r="F222" t="s" s="4">
        <v>22</v>
      </c>
      <c r="G222" t="s" s="3">
        <v>69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O41"/>
  <sheetViews>
    <sheetView workbookViewId="0" showGridLines="0" defaultGridColor="1"/>
  </sheetViews>
  <sheetFormatPr defaultColWidth="8.83333" defaultRowHeight="14.4" customHeight="1" outlineLevelRow="0" outlineLevelCol="0"/>
  <cols>
    <col min="1" max="1" width="40.5" style="5" customWidth="1"/>
    <col min="2" max="2" width="6.17188" style="5" customWidth="1"/>
    <col min="3" max="3" width="8.85156" style="5" customWidth="1"/>
    <col min="4" max="4" width="15.1719" style="5" customWidth="1"/>
    <col min="5" max="5" width="6.17188" style="5" customWidth="1"/>
    <col min="6" max="6" width="8.85156" style="5" customWidth="1"/>
    <col min="7" max="7" width="7.67188" style="5" customWidth="1"/>
    <col min="8" max="8" width="6.17188" style="5" customWidth="1"/>
    <col min="9" max="15" width="8.85156" style="5" customWidth="1"/>
    <col min="16" max="16384" width="8.85156" style="5" customWidth="1"/>
  </cols>
  <sheetData>
    <row r="1" ht="18" customHeight="1">
      <c r="A1" t="s" s="6">
        <v>586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ht="15.6" customHeight="1">
      <c r="A2" s="8"/>
      <c r="B2" s="8"/>
      <c r="C2" s="7"/>
      <c r="D2" s="8"/>
      <c r="E2" s="8"/>
      <c r="F2" s="7"/>
      <c r="G2" s="8"/>
      <c r="H2" s="8"/>
      <c r="I2" s="7"/>
      <c r="J2" t="s" s="9">
        <v>587</v>
      </c>
      <c r="K2" s="7"/>
      <c r="L2" s="7"/>
      <c r="M2" s="7"/>
      <c r="N2" s="7"/>
      <c r="O2" s="7"/>
    </row>
    <row r="3" ht="16" customHeight="1">
      <c r="A3" t="s" s="10">
        <v>6</v>
      </c>
      <c r="B3" t="s" s="11">
        <v>588</v>
      </c>
      <c r="C3" s="12"/>
      <c r="D3" t="s" s="11">
        <v>589</v>
      </c>
      <c r="E3" t="s" s="11">
        <v>588</v>
      </c>
      <c r="F3" s="12"/>
      <c r="G3" t="s" s="11">
        <v>590</v>
      </c>
      <c r="H3" t="s" s="11">
        <v>588</v>
      </c>
      <c r="I3" s="13"/>
      <c r="J3" s="8"/>
      <c r="K3" s="8"/>
      <c r="L3" s="8"/>
      <c r="M3" s="8"/>
      <c r="N3" s="8"/>
      <c r="O3" s="7"/>
    </row>
    <row r="4" ht="16" customHeight="1">
      <c r="A4" t="s" s="14">
        <v>13</v>
      </c>
      <c r="B4" s="15">
        <f>COUNTIF('Feature Inventory'!$G$2:$G$222,A4)</f>
        <v>210</v>
      </c>
      <c r="C4" s="7"/>
      <c r="D4" t="s" s="14">
        <v>591</v>
      </c>
      <c r="E4" s="16"/>
      <c r="F4" s="7"/>
      <c r="G4" t="s" s="14">
        <v>592</v>
      </c>
      <c r="H4" s="16"/>
      <c r="I4" s="17"/>
      <c r="J4" t="s" s="18">
        <v>593</v>
      </c>
      <c r="K4" s="19"/>
      <c r="L4" s="19"/>
      <c r="M4" s="19"/>
      <c r="N4" t="s" s="11">
        <v>588</v>
      </c>
      <c r="O4" s="13"/>
    </row>
    <row r="5" ht="16" customHeight="1">
      <c r="A5" t="s" s="20">
        <v>304</v>
      </c>
      <c r="B5" s="21">
        <f>COUNTIF('Feature Inventory'!$G$2:$G$222,A5)</f>
        <v>1</v>
      </c>
      <c r="C5" s="7"/>
      <c r="D5" t="s" s="20">
        <v>594</v>
      </c>
      <c r="E5" s="7"/>
      <c r="F5" s="7"/>
      <c r="G5" t="s" s="20">
        <v>595</v>
      </c>
      <c r="H5" s="7"/>
      <c r="I5" s="7"/>
      <c r="J5" t="s" s="22">
        <v>591</v>
      </c>
      <c r="K5" s="23"/>
      <c r="L5" s="23"/>
      <c r="M5" s="23"/>
      <c r="N5" s="16">
        <f>E4</f>
      </c>
      <c r="O5" s="7"/>
    </row>
    <row r="6" ht="16" customHeight="1">
      <c r="A6" t="s" s="20">
        <v>69</v>
      </c>
      <c r="B6" s="21">
        <f>COUNTIF('Feature Inventory'!$G$2:$G$222,A6)</f>
        <v>10</v>
      </c>
      <c r="C6" s="7"/>
      <c r="D6" t="s" s="20">
        <v>596</v>
      </c>
      <c r="E6" s="7"/>
      <c r="F6" s="7"/>
      <c r="G6" t="s" s="20">
        <v>597</v>
      </c>
      <c r="H6" s="7"/>
      <c r="I6" s="7"/>
      <c r="J6" t="s" s="24">
        <v>598</v>
      </c>
      <c r="K6" s="25"/>
      <c r="L6" s="25"/>
      <c r="M6" s="25"/>
      <c r="N6" s="7">
        <f>E5+E6+E7</f>
      </c>
      <c r="O6" s="7"/>
    </row>
    <row r="7" ht="16" customHeight="1">
      <c r="A7" s="7"/>
      <c r="B7" s="7"/>
      <c r="C7" s="7"/>
      <c r="D7" t="s" s="20">
        <v>599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6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6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6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6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6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6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6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6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6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6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6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6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6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6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6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6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6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6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6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6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</row>
    <row r="28" ht="16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</row>
    <row r="29" ht="16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</row>
    <row r="30" ht="16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</row>
    <row r="31" ht="16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</row>
    <row r="32" ht="16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</row>
    <row r="33" ht="16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</row>
    <row r="34" ht="16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</row>
    <row r="35" ht="16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</row>
    <row r="36" ht="16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</row>
    <row r="37" ht="16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</row>
    <row r="38" ht="16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</row>
    <row r="39" ht="16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 ht="16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</row>
    <row r="41" ht="16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</row>
  </sheetData>
  <mergeCells count="3">
    <mergeCell ref="J4:M4"/>
    <mergeCell ref="J5:M5"/>
    <mergeCell ref="J6:M6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