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d\Downloads\"/>
    </mc:Choice>
  </mc:AlternateContent>
  <xr:revisionPtr revIDLastSave="0" documentId="13_ncr:1_{2BDA22A2-4F82-4EA4-9059-1597DFE68A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الاسماء" sheetId="1" r:id="rId1"/>
    <sheet name="مصطفي محمد مؤمن " sheetId="5" r:id="rId2"/>
    <sheet name="محمد فرج يوسف حموده" sheetId="7" r:id="rId3"/>
    <sheet name="عبدالرحمن محمد عبدالعزيز " sheetId="6" r:id="rId4"/>
    <sheet name="زياد عبدالرازق محمد مشالي" sheetId="8" r:id="rId5"/>
    <sheet name="داليا يونس حسن مهني" sheetId="2" r:id="rId6"/>
    <sheet name="ايمان جوده " sheetId="4" r:id="rId7"/>
    <sheet name="احمد السيد عبداللطيف" sheetId="3" r:id="rId8"/>
    <sheet name="محمود عبدالعزيز عزتلي 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B28" i="7"/>
  <c r="B48" i="10"/>
  <c r="B60" i="3"/>
  <c r="B48" i="4"/>
  <c r="B48" i="8"/>
  <c r="B48" i="6"/>
  <c r="B48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B36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G12" i="4"/>
  <c r="H12" i="4"/>
  <c r="G13" i="4"/>
  <c r="H13" i="4"/>
  <c r="E12" i="3"/>
  <c r="F12" i="3"/>
  <c r="E13" i="3"/>
  <c r="F13" i="3"/>
  <c r="F49" i="3" l="1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J3" i="10"/>
  <c r="H46" i="10"/>
  <c r="G46" i="10"/>
  <c r="H45" i="10"/>
  <c r="G45" i="10"/>
  <c r="H44" i="10"/>
  <c r="G44" i="10"/>
  <c r="H43" i="10"/>
  <c r="G43" i="10"/>
  <c r="H42" i="10"/>
  <c r="G42" i="10"/>
  <c r="H41" i="10"/>
  <c r="G41" i="10"/>
  <c r="H40" i="10"/>
  <c r="G40" i="10"/>
  <c r="H39" i="10"/>
  <c r="G39" i="10"/>
  <c r="H38" i="10"/>
  <c r="G38" i="10"/>
  <c r="H37" i="10"/>
  <c r="G37" i="10"/>
  <c r="H36" i="10"/>
  <c r="G36" i="10"/>
  <c r="H35" i="10"/>
  <c r="G35" i="10"/>
  <c r="H34" i="10"/>
  <c r="G34" i="10"/>
  <c r="H33" i="10"/>
  <c r="G33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6" i="10"/>
  <c r="G26" i="10"/>
  <c r="H25" i="10"/>
  <c r="G25" i="10"/>
  <c r="H24" i="10"/>
  <c r="G24" i="10"/>
  <c r="H23" i="10"/>
  <c r="G23" i="10"/>
  <c r="H22" i="10"/>
  <c r="G22" i="10"/>
  <c r="H21" i="10"/>
  <c r="G21" i="10"/>
  <c r="H20" i="10"/>
  <c r="G20" i="10"/>
  <c r="H19" i="10"/>
  <c r="G19" i="10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J3" i="8" l="1"/>
  <c r="H46" i="8"/>
  <c r="G46" i="8"/>
  <c r="H45" i="8"/>
  <c r="G45" i="8"/>
  <c r="H44" i="8"/>
  <c r="G44" i="8"/>
  <c r="H43" i="8"/>
  <c r="G43" i="8"/>
  <c r="H42" i="8"/>
  <c r="G42" i="8"/>
  <c r="H41" i="8"/>
  <c r="G41" i="8"/>
  <c r="H40" i="8"/>
  <c r="G40" i="8"/>
  <c r="H39" i="8"/>
  <c r="G39" i="8"/>
  <c r="H38" i="8"/>
  <c r="G38" i="8"/>
  <c r="H37" i="8"/>
  <c r="G37" i="8"/>
  <c r="H36" i="8"/>
  <c r="G36" i="8"/>
  <c r="H35" i="8"/>
  <c r="G35" i="8"/>
  <c r="H34" i="8"/>
  <c r="G34" i="8"/>
  <c r="H33" i="8"/>
  <c r="G33" i="8"/>
  <c r="H32" i="8"/>
  <c r="G32" i="8"/>
  <c r="H31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H19" i="8"/>
  <c r="G19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F3" i="8"/>
  <c r="J3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F3" i="7"/>
  <c r="J3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F3" i="6"/>
  <c r="J3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F3" i="5"/>
  <c r="J3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F3" i="4"/>
  <c r="F3" i="3"/>
  <c r="J3" i="2"/>
  <c r="F3" i="2"/>
</calcChain>
</file>

<file path=xl/sharedStrings.xml><?xml version="1.0" encoding="utf-8"?>
<sst xmlns="http://schemas.openxmlformats.org/spreadsheetml/2006/main" count="325" uniqueCount="80">
  <si>
    <t>احمد السيد عبداللطيف</t>
  </si>
  <si>
    <t>ايمان جوده عطيه</t>
  </si>
  <si>
    <t>داليا يونس حسن مهني</t>
  </si>
  <si>
    <t>زياد عبدالرازق محمد مشالي</t>
  </si>
  <si>
    <t>عبدالرحمن محمد عبدالعزيز الجندي</t>
  </si>
  <si>
    <t>محمد فرج يوسف حموده</t>
  </si>
  <si>
    <t>محمود عبدالعزيز عزتلي</t>
  </si>
  <si>
    <t>مصطفي محمد مؤمن ياقوت</t>
  </si>
  <si>
    <t>ســــــــــــــــــــــــــــــــــــــــنـــــــــــــــــــــــــد قـــــــــــــــــــــــــــــبــــــــــــــــــــــــــــــــــــــــــــــــض</t>
  </si>
  <si>
    <t>التاريخ</t>
  </si>
  <si>
    <t xml:space="preserve">رقم الوحدة </t>
  </si>
  <si>
    <t>استلمنا نحن</t>
  </si>
  <si>
    <t>مبلغ وقدره</t>
  </si>
  <si>
    <t>خمسة مليون ومائتان وواحد الف وخمسمائة وأربعة جنيه مصري فقط لاغير</t>
  </si>
  <si>
    <t>نقدا / بموجب</t>
  </si>
  <si>
    <t>مسحوبة على بنك</t>
  </si>
  <si>
    <t>الأهلي المصري</t>
  </si>
  <si>
    <t>وذلك عن</t>
  </si>
  <si>
    <t>A-306</t>
  </si>
  <si>
    <t xml:space="preserve">بمشروع سوا حسب الجدول الموضح ادناه </t>
  </si>
  <si>
    <t>المبلغ</t>
  </si>
  <si>
    <t>رقم الشيك</t>
  </si>
  <si>
    <t>البنك</t>
  </si>
  <si>
    <t>رقم الشقة</t>
  </si>
  <si>
    <t>ملاحظات</t>
  </si>
  <si>
    <t xml:space="preserve"> عدد  47 شيك مؤرخة حسب الجدول المبين ادناه</t>
  </si>
  <si>
    <t>CIB</t>
  </si>
  <si>
    <t>A-305</t>
  </si>
  <si>
    <t>الاهلي المصري</t>
  </si>
  <si>
    <t>A-303</t>
  </si>
  <si>
    <t>A-404</t>
  </si>
  <si>
    <t>فيصل الاسلامي</t>
  </si>
  <si>
    <t>A-302</t>
  </si>
  <si>
    <t>A-202</t>
  </si>
  <si>
    <t>اربعه مليون وثلاثمئة وثمانيه وعشرون الف وربعمائة وتسعه وثلاثون جنيه لا غير</t>
  </si>
  <si>
    <t>HSBC</t>
  </si>
  <si>
    <t>A-104</t>
  </si>
  <si>
    <t>+</t>
  </si>
  <si>
    <t>ياسر محمد محمد سعودي</t>
  </si>
  <si>
    <t>ســــــــــــــــــــــــــــــــــــــــنـــــــــــــــــــــــــد قـــــــــــــــــــــــــــــبــــــــــــــــــــــــــــــــــــــــــــــــض شيكات</t>
  </si>
  <si>
    <t xml:space="preserve">من الساده / </t>
  </si>
  <si>
    <t>شركه جولدن لاند للتطوير العقاري</t>
  </si>
  <si>
    <t>م</t>
  </si>
  <si>
    <t>رقم الوحده</t>
  </si>
  <si>
    <t xml:space="preserve">العميل </t>
  </si>
  <si>
    <t>استلمت انا .........................................................</t>
  </si>
  <si>
    <t>التوقيع ..................................................</t>
  </si>
  <si>
    <t>ثلاثه مليون واربعمائه وسبعه وعشرون الف جنيه مصري</t>
  </si>
  <si>
    <t>عن</t>
  </si>
  <si>
    <t>قيمة الأقساط المستحقة والمتبقيه من بيع الوحدة السكنية رقم A-305</t>
  </si>
  <si>
    <t>قيمة الأقساط المستحقة والمتبقيه من بيع الوحدة السكنية رقم A-303</t>
  </si>
  <si>
    <t xml:space="preserve"> عدد  38 شيك مؤرخة حسب الجدول المبين ادناه</t>
  </si>
  <si>
    <t>الاسم</t>
  </si>
  <si>
    <t xml:space="preserve">اجمالي قيمه الشيكات </t>
  </si>
  <si>
    <t>الاسماء!A1</t>
  </si>
  <si>
    <t>العميل</t>
  </si>
  <si>
    <t xml:space="preserve">ايمان جوده </t>
  </si>
  <si>
    <t xml:space="preserve"> عدد  35 شيك مؤرخة حسب الجدول المبين ادناه</t>
  </si>
  <si>
    <t xml:space="preserve">اربعه مليون واربعمائه وسبعه وثلاثون الف جنيه مصري فقط لاغير </t>
  </si>
  <si>
    <t xml:space="preserve"> عدد  23 شيك مؤرخة حسب الجدول المبين ادناه</t>
  </si>
  <si>
    <t>قيمة الأقساط المستحقة والمتبقيه من بيع الوحدة السكنية رقم A-306</t>
  </si>
  <si>
    <t>داليا يونس حسن مهنى</t>
  </si>
  <si>
    <t>قيمة الأقساط المستحقة والمتبقيه من بيع الوحدة السكنية رقم A-104</t>
  </si>
  <si>
    <t xml:space="preserve">اربعه مليون وسبعمائه وعشرون الف وسبعه وعشرون جنيه مصري لاغير </t>
  </si>
  <si>
    <t>قيمة الأقساط المستحقة والمتبقيه من بيع الوحدة السكنية رقم A-302</t>
  </si>
  <si>
    <t>عبدالرحمن محمد عبدالعزيز</t>
  </si>
  <si>
    <t>قيمة الأقساط المستحقة والمتبقيه من بيع الوحدة السكنية رقم A-202</t>
  </si>
  <si>
    <t xml:space="preserve">ثلاثه مليون واربعمائه وتسعه وخمسون الف وستمائه وتسعه وخمسون جنيه مصري </t>
  </si>
  <si>
    <t>قيمة الأقساط المستحقة والمتبقيه من بيع الوحدة السكنية رقم A-404</t>
  </si>
  <si>
    <t xml:space="preserve">ســــــــــــــــــــــــــــــــــــــــنـــــــــــــــــــــــــد قـــــــــــــــــــــــــــــبــــــــــــــــــــــــــــــــــــــــــــــــض شيكات </t>
  </si>
  <si>
    <t>سند قبض شيكات</t>
  </si>
  <si>
    <t>محمود عبدالعزيز عزتلي جاد المولي</t>
  </si>
  <si>
    <t>قيمة الأقساط المستحقة والمتبقيه من بيع الوحدة السكنية رقم A-403</t>
  </si>
  <si>
    <t>A-403</t>
  </si>
  <si>
    <t>البنك الاهلي المصري</t>
  </si>
  <si>
    <t xml:space="preserve">اجمالي الشيكات المسلمة للحج ياسر </t>
  </si>
  <si>
    <t>رقم الوحدة</t>
  </si>
  <si>
    <t xml:space="preserve">مصطفي محمد مؤمن </t>
  </si>
  <si>
    <t xml:space="preserve">ثلاثة مليون وتسعمائه وخمسة عشر الف جنيه مصري فقط لاغير </t>
  </si>
  <si>
    <t xml:space="preserve"> عدد 15 شيك مؤرخة حسب الجدول المبين ادناه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</si>
</sst>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\-yyyy"/>
    <numFmt numFmtId="165" formatCode="dd/mm/yyyy;@"/>
    <numFmt numFmtId="166" formatCode="_-* #,##0_-;\-* #,##0_-;_-* &quot;-&quot;??_-;_-@_-"/>
    <numFmt numFmtId="167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PT Bold Broken"/>
      <charset val="178"/>
    </font>
    <font>
      <u/>
      <sz val="11"/>
      <color theme="1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5" fillId="0" borderId="0" xfId="0" applyFont="1" applyProtection="1">
      <protection locked="0"/>
    </xf>
    <xf numFmtId="1" fontId="0" fillId="0" borderId="0" xfId="0" applyNumberFormat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" fontId="3" fillId="0" borderId="2" xfId="0" applyNumberFormat="1" applyFont="1" applyBorder="1" applyAlignment="1" applyProtection="1">
      <alignment horizontal="center" vertical="center"/>
      <protection locked="0" hidden="1"/>
    </xf>
    <xf numFmtId="0" fontId="9" fillId="0" borderId="1" xfId="0" applyFont="1" applyBorder="1" applyAlignment="1" applyProtection="1">
      <alignment horizontal="center" vertical="center"/>
      <protection locked="0" hidden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right" vertical="center"/>
      <protection locked="0"/>
    </xf>
    <xf numFmtId="0" fontId="11" fillId="0" borderId="0" xfId="0" applyFont="1" applyAlignment="1" applyProtection="1">
      <alignment horizontal="right" vertical="center" indent="1"/>
      <protection locked="0"/>
    </xf>
    <xf numFmtId="0" fontId="0" fillId="0" borderId="0" xfId="0" applyAlignment="1" applyProtection="1">
      <alignment horizontal="right" indent="1"/>
      <protection locked="0"/>
    </xf>
    <xf numFmtId="164" fontId="0" fillId="0" borderId="0" xfId="0" applyNumberFormat="1" applyAlignment="1" applyProtection="1">
      <alignment horizontal="right" indent="1"/>
      <protection locked="0"/>
    </xf>
    <xf numFmtId="0" fontId="5" fillId="0" borderId="0" xfId="0" applyFont="1" applyAlignment="1" applyProtection="1">
      <alignment horizontal="right" indent="1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vertical="center"/>
    </xf>
    <xf numFmtId="164" fontId="8" fillId="0" borderId="1" xfId="0" applyNumberFormat="1" applyFont="1" applyBorder="1" applyAlignment="1" applyProtection="1">
      <alignment horizontal="right" vertical="center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65" fontId="8" fillId="0" borderId="5" xfId="0" applyNumberFormat="1" applyFont="1" applyBorder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horizontal="center" vertical="center"/>
      <protection locked="0"/>
    </xf>
    <xf numFmtId="49" fontId="8" fillId="0" borderId="8" xfId="0" applyNumberFormat="1" applyFont="1" applyBorder="1" applyAlignment="1" applyProtection="1">
      <alignment horizontal="center" vertical="center"/>
      <protection hidden="1"/>
    </xf>
    <xf numFmtId="0" fontId="8" fillId="0" borderId="9" xfId="0" applyFont="1" applyBorder="1" applyAlignment="1" applyProtection="1">
      <alignment vertic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8" fillId="0" borderId="11" xfId="0" applyFont="1" applyBorder="1" applyAlignment="1" applyProtection="1">
      <alignment horizontal="center" vertical="center"/>
      <protection hidden="1"/>
    </xf>
    <xf numFmtId="37" fontId="8" fillId="0" borderId="11" xfId="1" applyNumberFormat="1" applyFont="1" applyFill="1" applyBorder="1" applyAlignment="1" applyProtection="1">
      <alignment vertical="center"/>
      <protection hidden="1"/>
    </xf>
    <xf numFmtId="165" fontId="8" fillId="0" borderId="11" xfId="0" applyNumberFormat="1" applyFont="1" applyBorder="1" applyAlignment="1" applyProtection="1">
      <alignment horizontal="center" vertical="center"/>
      <protection hidden="1"/>
    </xf>
    <xf numFmtId="1" fontId="8" fillId="0" borderId="11" xfId="0" applyNumberFormat="1" applyFont="1" applyBorder="1" applyAlignment="1" applyProtection="1">
      <alignment horizontal="center" vertical="center"/>
      <protection hidden="1"/>
    </xf>
    <xf numFmtId="1" fontId="8" fillId="0" borderId="11" xfId="1" applyNumberFormat="1" applyFont="1" applyFill="1" applyBorder="1" applyAlignment="1" applyProtection="1">
      <alignment horizontal="center" vertical="center"/>
      <protection hidden="1"/>
    </xf>
    <xf numFmtId="0" fontId="8" fillId="0" borderId="11" xfId="1" applyNumberFormat="1" applyFont="1" applyFill="1" applyBorder="1" applyAlignment="1" applyProtection="1">
      <alignment vertical="center"/>
      <protection locked="0"/>
    </xf>
    <xf numFmtId="0" fontId="8" fillId="0" borderId="12" xfId="1" applyNumberFormat="1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6" fontId="10" fillId="0" borderId="0" xfId="1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164" fontId="5" fillId="0" borderId="0" xfId="0" applyNumberFormat="1" applyFont="1" applyAlignment="1" applyProtection="1">
      <alignment horizontal="center" vertical="center"/>
      <protection locked="0"/>
    </xf>
    <xf numFmtId="1" fontId="0" fillId="0" borderId="0" xfId="0" applyNumberFormat="1"/>
    <xf numFmtId="0" fontId="10" fillId="0" borderId="1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right" vertical="center" indent="1"/>
      <protection locked="0"/>
    </xf>
    <xf numFmtId="166" fontId="5" fillId="0" borderId="1" xfId="1" applyNumberFormat="1" applyFont="1" applyFill="1" applyBorder="1" applyAlignment="1" applyProtection="1">
      <alignment horizontal="center" vertical="center"/>
      <protection locked="0"/>
    </xf>
    <xf numFmtId="1" fontId="0" fillId="0" borderId="1" xfId="0" applyNumberFormat="1" applyBorder="1"/>
    <xf numFmtId="0" fontId="10" fillId="0" borderId="1" xfId="0" applyFont="1" applyBorder="1" applyAlignment="1" applyProtection="1">
      <alignment horizontal="center" vertical="center" readingOrder="2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5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vertical="center"/>
      <protection hidden="1"/>
    </xf>
    <xf numFmtId="165" fontId="5" fillId="0" borderId="5" xfId="0" applyNumberFormat="1" applyFont="1" applyBorder="1" applyAlignment="1" applyProtection="1">
      <alignment horizontal="center" vertical="center"/>
      <protection hidden="1"/>
    </xf>
    <xf numFmtId="1" fontId="5" fillId="0" borderId="5" xfId="0" applyNumberFormat="1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locked="0"/>
    </xf>
    <xf numFmtId="49" fontId="10" fillId="0" borderId="8" xfId="0" applyNumberFormat="1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166" fontId="7" fillId="0" borderId="10" xfId="1" applyNumberFormat="1" applyFont="1" applyFill="1" applyBorder="1" applyAlignment="1" applyProtection="1">
      <alignment vertical="center"/>
      <protection hidden="1"/>
    </xf>
    <xf numFmtId="0" fontId="7" fillId="0" borderId="11" xfId="0" applyFont="1" applyBorder="1" applyAlignment="1" applyProtection="1">
      <alignment horizontal="center" vertical="center"/>
      <protection hidden="1"/>
    </xf>
    <xf numFmtId="37" fontId="7" fillId="0" borderId="11" xfId="1" applyNumberFormat="1" applyFont="1" applyFill="1" applyBorder="1" applyAlignment="1" applyProtection="1">
      <alignment vertical="center"/>
      <protection hidden="1"/>
    </xf>
    <xf numFmtId="165" fontId="7" fillId="0" borderId="11" xfId="0" applyNumberFormat="1" applyFont="1" applyBorder="1" applyAlignment="1" applyProtection="1">
      <alignment horizontal="center" vertical="center"/>
      <protection hidden="1"/>
    </xf>
    <xf numFmtId="1" fontId="7" fillId="0" borderId="11" xfId="0" applyNumberFormat="1" applyFont="1" applyBorder="1" applyAlignment="1" applyProtection="1">
      <alignment horizontal="center" vertical="center"/>
      <protection hidden="1"/>
    </xf>
    <xf numFmtId="1" fontId="7" fillId="0" borderId="11" xfId="1" applyNumberFormat="1" applyFont="1" applyFill="1" applyBorder="1" applyAlignment="1" applyProtection="1">
      <alignment horizontal="center" vertical="center"/>
      <protection hidden="1"/>
    </xf>
    <xf numFmtId="0" fontId="10" fillId="0" borderId="11" xfId="1" applyNumberFormat="1" applyFont="1" applyFill="1" applyBorder="1" applyAlignment="1" applyProtection="1">
      <alignment vertical="center"/>
      <protection locked="0"/>
    </xf>
    <xf numFmtId="0" fontId="10" fillId="0" borderId="12" xfId="1" applyNumberFormat="1" applyFont="1" applyFill="1" applyBorder="1" applyAlignment="1" applyProtection="1">
      <alignment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37" fontId="7" fillId="0" borderId="11" xfId="1" applyNumberFormat="1" applyFont="1" applyFill="1" applyBorder="1" applyAlignment="1" applyProtection="1">
      <alignment horizontal="center" vertical="center"/>
      <protection hidden="1"/>
    </xf>
    <xf numFmtId="0" fontId="13" fillId="2" borderId="0" xfId="2" applyFont="1" applyFill="1" applyAlignment="1">
      <alignment horizontal="center" vertical="center"/>
    </xf>
    <xf numFmtId="0" fontId="12" fillId="0" borderId="0" xfId="2"/>
    <xf numFmtId="167" fontId="2" fillId="0" borderId="0" xfId="1" applyNumberFormat="1" applyFont="1" applyAlignment="1">
      <alignment horizontal="center" vertical="center"/>
    </xf>
    <xf numFmtId="43" fontId="7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7" fontId="8" fillId="0" borderId="1" xfId="1" applyNumberFormat="1" applyFont="1" applyFill="1" applyBorder="1" applyAlignment="1" applyProtection="1">
      <alignment horizontal="right" vertical="center" indent="2"/>
      <protection hidden="1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165" fontId="6" fillId="0" borderId="13" xfId="0" applyNumberFormat="1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hidden="1"/>
    </xf>
    <xf numFmtId="0" fontId="8" fillId="0" borderId="14" xfId="0" applyFont="1" applyBorder="1" applyAlignment="1" applyProtection="1">
      <alignment horizontal="center" vertical="center"/>
      <protection hidden="1"/>
    </xf>
    <xf numFmtId="37" fontId="3" fillId="0" borderId="1" xfId="0" applyNumberFormat="1" applyFont="1" applyBorder="1" applyAlignment="1">
      <alignment horizontal="center" vertical="center"/>
    </xf>
    <xf numFmtId="0" fontId="7" fillId="0" borderId="0" xfId="0" applyFont="1" applyAlignment="1" applyProtection="1">
      <alignment horizontal="right" vertical="center" indent="2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165" fontId="8" fillId="0" borderId="13" xfId="0" applyNumberFormat="1" applyFont="1" applyBorder="1" applyAlignment="1" applyProtection="1">
      <alignment horizontal="center" vertical="center"/>
      <protection locked="0"/>
    </xf>
    <xf numFmtId="167" fontId="7" fillId="0" borderId="0" xfId="1" applyNumberFormat="1" applyFont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4"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</font>
      <numFmt numFmtId="167" formatCode="_(* #,##0_);_(* \(#,##0\);_(* &quot;-&quot;??_);_(@_)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9247FB-CFB6-4BE5-B5D6-060C4D4FBD1D}" name="Table1" displayName="Table1" ref="A1:D9" totalsRowShown="0" headerRowDxfId="3">
  <autoFilter ref="A1:D9" xr:uid="{B69247FB-CFB6-4BE5-B5D6-060C4D4FBD1D}"/>
  <tableColumns count="4">
    <tableColumn id="1" xr3:uid="{8191543A-0884-4A33-BA42-723D4001B76E}" name="م"/>
    <tableColumn id="5" xr3:uid="{5A363721-6B6B-4D8E-97B8-51D3F6B9BA25}" name="رقم الوحدة" dataDxfId="0"/>
    <tableColumn id="2" xr3:uid="{A587C24D-5E47-4A88-83CB-0D3AF5A521A4}" name="الاسم" dataDxfId="1"/>
    <tableColumn id="3" xr3:uid="{22C95999-F2FF-4261-95F3-133080542AE0}" name="اجمالي قيمه الشيكات 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rightToLeft="1" tabSelected="1" zoomScaleNormal="100" workbookViewId="0">
      <selection activeCell="D10" sqref="D10"/>
    </sheetView>
  </sheetViews>
  <sheetFormatPr defaultRowHeight="14.4" x14ac:dyDescent="0.3"/>
  <cols>
    <col min="2" max="2" width="15.21875" style="16" bestFit="1" customWidth="1"/>
    <col min="3" max="3" width="36.44140625" customWidth="1"/>
    <col min="4" max="4" width="28" customWidth="1"/>
  </cols>
  <sheetData>
    <row r="1" spans="1:4" ht="28.5" customHeight="1" x14ac:dyDescent="0.3">
      <c r="A1" s="10" t="s">
        <v>42</v>
      </c>
      <c r="B1" s="10" t="s">
        <v>76</v>
      </c>
      <c r="C1" s="10" t="s">
        <v>52</v>
      </c>
      <c r="D1" s="10" t="s">
        <v>53</v>
      </c>
    </row>
    <row r="2" spans="1:4" ht="28.5" customHeight="1" x14ac:dyDescent="0.3">
      <c r="A2">
        <v>1</v>
      </c>
      <c r="B2" s="10" t="s">
        <v>27</v>
      </c>
      <c r="C2" s="79" t="s">
        <v>0</v>
      </c>
      <c r="D2" s="81">
        <v>3427000</v>
      </c>
    </row>
    <row r="3" spans="1:4" ht="28.5" customHeight="1" x14ac:dyDescent="0.3">
      <c r="A3">
        <v>2</v>
      </c>
      <c r="B3" s="10" t="s">
        <v>29</v>
      </c>
      <c r="C3" s="79" t="s">
        <v>1</v>
      </c>
      <c r="D3" s="81">
        <v>4437000</v>
      </c>
    </row>
    <row r="4" spans="1:4" ht="28.5" customHeight="1" x14ac:dyDescent="0.3">
      <c r="A4">
        <v>3</v>
      </c>
      <c r="B4" s="10" t="s">
        <v>18</v>
      </c>
      <c r="C4" s="79" t="s">
        <v>2</v>
      </c>
      <c r="D4" s="81">
        <v>4026891</v>
      </c>
    </row>
    <row r="5" spans="1:4" ht="28.5" customHeight="1" x14ac:dyDescent="0.3">
      <c r="A5">
        <v>4</v>
      </c>
      <c r="B5" s="10" t="s">
        <v>36</v>
      </c>
      <c r="C5" s="79" t="s">
        <v>3</v>
      </c>
      <c r="D5" s="81">
        <v>3465000</v>
      </c>
    </row>
    <row r="6" spans="1:4" ht="28.5" customHeight="1" x14ac:dyDescent="0.3">
      <c r="A6">
        <v>5</v>
      </c>
      <c r="B6" s="10" t="s">
        <v>32</v>
      </c>
      <c r="C6" s="79" t="s">
        <v>4</v>
      </c>
      <c r="D6" s="81">
        <v>4720077</v>
      </c>
    </row>
    <row r="7" spans="1:4" ht="28.5" customHeight="1" x14ac:dyDescent="0.3">
      <c r="A7">
        <v>6</v>
      </c>
      <c r="B7" s="10" t="s">
        <v>33</v>
      </c>
      <c r="C7" s="79" t="s">
        <v>5</v>
      </c>
      <c r="D7" s="81">
        <v>3915000</v>
      </c>
    </row>
    <row r="8" spans="1:4" ht="28.5" customHeight="1" x14ac:dyDescent="0.3">
      <c r="A8">
        <v>7</v>
      </c>
      <c r="B8" s="10" t="s">
        <v>73</v>
      </c>
      <c r="C8" s="79" t="s">
        <v>6</v>
      </c>
      <c r="D8" s="81">
        <v>4540000</v>
      </c>
    </row>
    <row r="9" spans="1:4" ht="28.5" customHeight="1" x14ac:dyDescent="0.3">
      <c r="A9">
        <v>8</v>
      </c>
      <c r="B9" s="10" t="s">
        <v>30</v>
      </c>
      <c r="C9" s="79" t="s">
        <v>7</v>
      </c>
      <c r="D9" s="81">
        <v>3459659</v>
      </c>
    </row>
    <row r="10" spans="1:4" ht="49.5" customHeight="1" x14ac:dyDescent="0.3">
      <c r="A10" s="83" t="s">
        <v>75</v>
      </c>
      <c r="B10" s="83"/>
      <c r="C10" s="83"/>
      <c r="D10" s="98">
        <f>SUBTOTAL(109,Table1[[اجمالي قيمه الشيكات ]])</f>
        <v>31990627</v>
      </c>
    </row>
    <row r="11" spans="1:4" ht="31.5" customHeight="1" x14ac:dyDescent="0.3">
      <c r="A11" s="83"/>
      <c r="B11" s="83"/>
      <c r="C11" s="83"/>
      <c r="D11" s="82"/>
    </row>
    <row r="12" spans="1:4" ht="32.549999999999997" customHeight="1" x14ac:dyDescent="0.3">
      <c r="A12" s="83"/>
      <c r="B12" s="83"/>
      <c r="C12" s="83"/>
      <c r="D12" s="82"/>
    </row>
  </sheetData>
  <mergeCells count="3">
    <mergeCell ref="A10:C10"/>
    <mergeCell ref="A11:C11"/>
    <mergeCell ref="A12:C12"/>
  </mergeCells>
  <phoneticPr fontId="14" type="noConversion"/>
  <hyperlinks>
    <hyperlink ref="C2" location="'احمد السيد عبداللطيف'!A1" display="احمد السيد عبداللطيف" xr:uid="{C1E471FC-6B2E-476E-BC07-02FB9C63B529}"/>
    <hyperlink ref="C3" location="'ايمان جوده '!A1" display="ايمان جوده عطيه" xr:uid="{5B4E0F24-AB97-45E5-8EA9-2E848C38AAF2}"/>
    <hyperlink ref="C4" location="'داليا يونس حسن مهني'!A1" display="داليا يونس حسن مهني" xr:uid="{7D4D9E69-C141-4959-B4DC-87345585F590}"/>
    <hyperlink ref="C5" location="'زياد عبدالرازق محمد مشالي'!A1" display="زياد عبدالرازق محمد مشالي" xr:uid="{92F421A1-1286-4022-B862-3452D379BE68}"/>
    <hyperlink ref="C6" location="'عبدالرحمن محمد عبدالعزيز '!A1" display="عبدالرحمن محمد عبدالعزيز الجندي" xr:uid="{1E94606C-2409-4910-9737-1FFE7DA47F18}"/>
    <hyperlink ref="C7" location="'محمد فرج يوسف حموده'!A1" display="محمد فرج يوسف حموده" xr:uid="{C0CA301F-DDF6-4826-A45E-0E6A735EBBE9}"/>
    <hyperlink ref="C9" location="'مصطفي محمد مؤمن '!A1" display="مصطفي محمد مؤمن ياقوت" xr:uid="{FB72583B-B9B3-4064-AA66-BB26A31433CE}"/>
    <hyperlink ref="C8" location="'محمود عبدالعزيز عزتلي '!A1" display="محمود عبدالعزيز عزتلي" xr:uid="{1BEACA17-97DF-47A9-AF49-6B11F8139496}"/>
  </hyperlinks>
  <pageMargins left="0.7" right="0.7" top="0.75" bottom="0.75" header="0.3" footer="0.3"/>
  <pageSetup paperSize="9" scale="9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2D61-3FC3-442A-9682-C565DC692DA9}">
  <dimension ref="A1:K51"/>
  <sheetViews>
    <sheetView rightToLeft="1" view="pageBreakPreview" topLeftCell="A36" zoomScale="60" zoomScaleNormal="100" workbookViewId="0">
      <selection activeCell="F7" sqref="F7"/>
    </sheetView>
  </sheetViews>
  <sheetFormatPr defaultRowHeight="14.4" x14ac:dyDescent="0.3"/>
  <cols>
    <col min="1" max="1" width="15.21875" bestFit="1" customWidth="1"/>
    <col min="2" max="2" width="27" customWidth="1"/>
    <col min="3" max="3" width="19.88671875" bestFit="1" customWidth="1"/>
    <col min="4" max="4" width="28.33203125" bestFit="1" customWidth="1"/>
    <col min="5" max="5" width="33.21875" customWidth="1"/>
    <col min="6" max="6" width="14.21875" customWidth="1"/>
    <col min="7" max="11" width="0" hidden="1" customWidth="1"/>
  </cols>
  <sheetData>
    <row r="1" spans="1:11" ht="37.200000000000003" thickBot="1" x14ac:dyDescent="0.35">
      <c r="A1" s="86" t="s">
        <v>69</v>
      </c>
      <c r="B1" s="86"/>
      <c r="C1" s="86"/>
      <c r="D1" s="86"/>
      <c r="E1" s="86"/>
      <c r="F1" s="86"/>
      <c r="G1" s="86"/>
      <c r="H1" s="86"/>
      <c r="I1" s="86"/>
      <c r="J1" s="87"/>
      <c r="K1" s="88"/>
    </row>
    <row r="2" spans="1:11" ht="21.6" thickTop="1" x14ac:dyDescent="0.4">
      <c r="A2" s="1"/>
      <c r="B2" s="2"/>
      <c r="C2" s="2"/>
      <c r="D2" s="3"/>
      <c r="E2" s="4"/>
      <c r="F2" s="5"/>
      <c r="G2" s="2"/>
      <c r="H2" s="2"/>
      <c r="I2" s="1"/>
      <c r="J2" s="2"/>
      <c r="K2" s="2"/>
    </row>
    <row r="3" spans="1:11" ht="34.200000000000003" thickBot="1" x14ac:dyDescent="0.35">
      <c r="A3" s="6" t="s">
        <v>9</v>
      </c>
      <c r="B3" s="89">
        <v>46307</v>
      </c>
      <c r="C3" s="89"/>
      <c r="D3" s="90" t="s">
        <v>10</v>
      </c>
      <c r="E3" s="91"/>
      <c r="F3" s="7" t="str">
        <f>G9</f>
        <v>A-404</v>
      </c>
      <c r="G3" s="8"/>
      <c r="H3" s="9"/>
      <c r="I3" s="10"/>
      <c r="J3" s="92">
        <f>B48</f>
        <v>3459659</v>
      </c>
      <c r="K3" s="92"/>
    </row>
    <row r="4" spans="1:11" ht="21.6" thickTop="1" x14ac:dyDescent="0.4">
      <c r="A4" s="1"/>
      <c r="B4" s="2"/>
      <c r="C4" s="2"/>
      <c r="D4" s="3"/>
      <c r="E4" s="4"/>
      <c r="F4" s="5"/>
      <c r="G4" s="2"/>
      <c r="H4" s="2"/>
      <c r="I4" s="1"/>
      <c r="J4" s="2"/>
      <c r="K4" s="2"/>
    </row>
    <row r="5" spans="1:11" ht="54" x14ac:dyDescent="0.4">
      <c r="A5" s="11" t="s">
        <v>11</v>
      </c>
      <c r="B5" s="12" t="s">
        <v>38</v>
      </c>
      <c r="C5" s="13"/>
      <c r="D5" s="14"/>
      <c r="E5" s="15"/>
      <c r="F5" s="5"/>
      <c r="G5" s="2"/>
      <c r="I5" s="16"/>
      <c r="J5" s="2"/>
      <c r="K5" s="2"/>
    </row>
    <row r="6" spans="1:11" ht="54" x14ac:dyDescent="0.4">
      <c r="A6" s="11" t="s">
        <v>40</v>
      </c>
      <c r="B6" s="12" t="s">
        <v>41</v>
      </c>
      <c r="C6" s="13"/>
      <c r="D6" s="14"/>
      <c r="E6" s="15"/>
      <c r="F6" s="5"/>
      <c r="G6" s="2"/>
      <c r="H6" s="2"/>
      <c r="I6" s="1"/>
      <c r="J6" s="2"/>
      <c r="K6" s="2"/>
    </row>
    <row r="7" spans="1:11" ht="25.8" x14ac:dyDescent="0.3">
      <c r="A7" s="11" t="s">
        <v>12</v>
      </c>
      <c r="B7" s="93" t="s">
        <v>67</v>
      </c>
      <c r="C7" s="93"/>
      <c r="D7" s="93"/>
      <c r="E7" s="93"/>
      <c r="F7" s="17"/>
      <c r="G7" s="18"/>
      <c r="H7" s="18"/>
      <c r="I7" s="19"/>
      <c r="J7" s="18"/>
      <c r="K7" s="18"/>
    </row>
    <row r="8" spans="1:11" ht="31.8" thickBot="1" x14ac:dyDescent="0.35">
      <c r="A8" s="11" t="s">
        <v>14</v>
      </c>
      <c r="B8" s="23" t="s">
        <v>57</v>
      </c>
      <c r="C8" s="18"/>
      <c r="D8" s="21"/>
      <c r="E8" s="24"/>
      <c r="F8" s="25"/>
      <c r="G8" s="26"/>
      <c r="H8" s="27" t="s">
        <v>15</v>
      </c>
      <c r="I8" s="28"/>
      <c r="J8" s="29" t="s">
        <v>28</v>
      </c>
      <c r="K8" s="18"/>
    </row>
    <row r="9" spans="1:11" ht="34.799999999999997" thickTop="1" thickBot="1" x14ac:dyDescent="0.35">
      <c r="A9" s="11" t="s">
        <v>17</v>
      </c>
      <c r="B9" s="20" t="s">
        <v>68</v>
      </c>
      <c r="C9" s="18"/>
      <c r="D9" s="21"/>
      <c r="E9" s="22"/>
      <c r="F9" s="17"/>
      <c r="G9" s="30" t="s">
        <v>30</v>
      </c>
      <c r="H9" s="31" t="s">
        <v>19</v>
      </c>
      <c r="I9" s="26"/>
      <c r="J9" s="18"/>
      <c r="K9" s="18"/>
    </row>
    <row r="10" spans="1:11" ht="27" thickTop="1" thickBot="1" x14ac:dyDescent="0.35">
      <c r="A10" s="20" t="s">
        <v>55</v>
      </c>
      <c r="B10" s="20" t="s">
        <v>77</v>
      </c>
      <c r="C10" s="32"/>
      <c r="D10" s="32"/>
      <c r="E10" s="32"/>
      <c r="F10" s="32"/>
      <c r="G10" s="32"/>
      <c r="H10" s="32"/>
      <c r="I10" s="32"/>
      <c r="J10" s="32"/>
      <c r="K10" s="32"/>
    </row>
    <row r="11" spans="1:11" ht="21.6" thickTop="1" x14ac:dyDescent="0.3">
      <c r="A11" s="60" t="s">
        <v>42</v>
      </c>
      <c r="B11" s="60" t="s">
        <v>20</v>
      </c>
      <c r="C11" s="61" t="s">
        <v>9</v>
      </c>
      <c r="D11" s="62" t="s">
        <v>21</v>
      </c>
      <c r="E11" s="63" t="s">
        <v>22</v>
      </c>
      <c r="F11" s="64" t="s">
        <v>43</v>
      </c>
      <c r="G11" s="63" t="s">
        <v>22</v>
      </c>
      <c r="H11" s="65" t="s">
        <v>23</v>
      </c>
      <c r="I11" s="66" t="s">
        <v>24</v>
      </c>
      <c r="J11" s="67"/>
      <c r="K11" s="68"/>
    </row>
    <row r="12" spans="1:11" ht="25.8" x14ac:dyDescent="0.3">
      <c r="A12" s="70">
        <v>1</v>
      </c>
      <c r="B12" s="71">
        <v>99000</v>
      </c>
      <c r="C12" s="72">
        <v>46612</v>
      </c>
      <c r="D12" s="73">
        <v>25117000003829</v>
      </c>
      <c r="E12" s="72" t="str">
        <f t="shared" ref="E12:E46" si="0">$J$8</f>
        <v>الاهلي المصري</v>
      </c>
      <c r="F12" s="72" t="str">
        <f t="shared" ref="F12:F46" si="1">$G$9</f>
        <v>A-404</v>
      </c>
      <c r="G12" s="72" t="str">
        <f t="shared" ref="G12:G46" si="2">$J$8</f>
        <v>الاهلي المصري</v>
      </c>
      <c r="H12" s="72" t="str">
        <f t="shared" ref="H12:H46" si="3">$G$9</f>
        <v>A-404</v>
      </c>
      <c r="I12" s="74"/>
      <c r="J12" s="75"/>
      <c r="K12" s="76"/>
    </row>
    <row r="13" spans="1:11" ht="25.8" x14ac:dyDescent="0.3">
      <c r="A13" s="70">
        <v>2</v>
      </c>
      <c r="B13" s="71">
        <v>99000</v>
      </c>
      <c r="C13" s="72">
        <v>46704</v>
      </c>
      <c r="D13" s="73">
        <v>25117000003830</v>
      </c>
      <c r="E13" s="72" t="str">
        <f t="shared" si="0"/>
        <v>الاهلي المصري</v>
      </c>
      <c r="F13" s="72" t="str">
        <f t="shared" si="1"/>
        <v>A-404</v>
      </c>
      <c r="G13" s="72" t="str">
        <f t="shared" si="2"/>
        <v>الاهلي المصري</v>
      </c>
      <c r="H13" s="72" t="str">
        <f t="shared" si="3"/>
        <v>A-404</v>
      </c>
      <c r="I13" s="74"/>
      <c r="J13" s="75"/>
      <c r="K13" s="76"/>
    </row>
    <row r="14" spans="1:11" ht="25.8" x14ac:dyDescent="0.3">
      <c r="A14" s="70">
        <v>3</v>
      </c>
      <c r="B14" s="71">
        <v>99000</v>
      </c>
      <c r="C14" s="72">
        <v>46978</v>
      </c>
      <c r="D14" s="73">
        <v>25117000003833</v>
      </c>
      <c r="E14" s="72" t="str">
        <f t="shared" si="0"/>
        <v>الاهلي المصري</v>
      </c>
      <c r="F14" s="72" t="str">
        <f t="shared" si="1"/>
        <v>A-404</v>
      </c>
      <c r="G14" s="72" t="str">
        <f t="shared" si="2"/>
        <v>الاهلي المصري</v>
      </c>
      <c r="H14" s="72" t="str">
        <f t="shared" si="3"/>
        <v>A-404</v>
      </c>
      <c r="I14" s="74"/>
      <c r="J14" s="75"/>
      <c r="K14" s="76"/>
    </row>
    <row r="15" spans="1:11" ht="25.8" x14ac:dyDescent="0.3">
      <c r="A15" s="70">
        <v>4</v>
      </c>
      <c r="B15" s="71">
        <v>99000</v>
      </c>
      <c r="C15" s="72">
        <v>47070</v>
      </c>
      <c r="D15" s="73">
        <v>25117000003834</v>
      </c>
      <c r="E15" s="72" t="str">
        <f t="shared" si="0"/>
        <v>الاهلي المصري</v>
      </c>
      <c r="F15" s="72" t="str">
        <f t="shared" si="1"/>
        <v>A-404</v>
      </c>
      <c r="G15" s="72" t="str">
        <f t="shared" si="2"/>
        <v>الاهلي المصري</v>
      </c>
      <c r="H15" s="72" t="str">
        <f t="shared" si="3"/>
        <v>A-404</v>
      </c>
      <c r="I15" s="74"/>
      <c r="J15" s="75"/>
      <c r="K15" s="76"/>
    </row>
    <row r="16" spans="1:11" ht="25.8" x14ac:dyDescent="0.3">
      <c r="A16" s="70">
        <v>5</v>
      </c>
      <c r="B16" s="71">
        <v>99000</v>
      </c>
      <c r="C16" s="72">
        <v>47162</v>
      </c>
      <c r="D16" s="73">
        <v>25117000003835</v>
      </c>
      <c r="E16" s="72" t="str">
        <f t="shared" si="0"/>
        <v>الاهلي المصري</v>
      </c>
      <c r="F16" s="72" t="str">
        <f t="shared" si="1"/>
        <v>A-404</v>
      </c>
      <c r="G16" s="72" t="str">
        <f t="shared" si="2"/>
        <v>الاهلي المصري</v>
      </c>
      <c r="H16" s="72" t="str">
        <f t="shared" si="3"/>
        <v>A-404</v>
      </c>
      <c r="I16" s="74"/>
      <c r="J16" s="75"/>
      <c r="K16" s="76"/>
    </row>
    <row r="17" spans="1:11" ht="25.8" x14ac:dyDescent="0.3">
      <c r="A17" s="70">
        <v>6</v>
      </c>
      <c r="B17" s="71">
        <v>99000</v>
      </c>
      <c r="C17" s="72">
        <v>47251</v>
      </c>
      <c r="D17" s="73">
        <v>25117000003836</v>
      </c>
      <c r="E17" s="72" t="str">
        <f t="shared" si="0"/>
        <v>الاهلي المصري</v>
      </c>
      <c r="F17" s="72" t="str">
        <f t="shared" si="1"/>
        <v>A-404</v>
      </c>
      <c r="G17" s="72" t="str">
        <f t="shared" si="2"/>
        <v>الاهلي المصري</v>
      </c>
      <c r="H17" s="72" t="str">
        <f t="shared" si="3"/>
        <v>A-404</v>
      </c>
      <c r="I17" s="74"/>
      <c r="J17" s="75"/>
      <c r="K17" s="76"/>
    </row>
    <row r="18" spans="1:11" ht="25.8" x14ac:dyDescent="0.3">
      <c r="A18" s="70">
        <v>7</v>
      </c>
      <c r="B18" s="71">
        <v>99000</v>
      </c>
      <c r="C18" s="72">
        <v>47343</v>
      </c>
      <c r="D18" s="73">
        <v>25117000003837</v>
      </c>
      <c r="E18" s="72" t="str">
        <f t="shared" si="0"/>
        <v>الاهلي المصري</v>
      </c>
      <c r="F18" s="72" t="str">
        <f t="shared" si="1"/>
        <v>A-404</v>
      </c>
      <c r="G18" s="72" t="str">
        <f t="shared" si="2"/>
        <v>الاهلي المصري</v>
      </c>
      <c r="H18" s="72" t="str">
        <f t="shared" si="3"/>
        <v>A-404</v>
      </c>
      <c r="I18" s="74"/>
      <c r="J18" s="75"/>
      <c r="K18" s="76"/>
    </row>
    <row r="19" spans="1:11" ht="25.8" x14ac:dyDescent="0.3">
      <c r="A19" s="70">
        <v>8</v>
      </c>
      <c r="B19" s="71">
        <v>99000</v>
      </c>
      <c r="C19" s="72">
        <v>47435</v>
      </c>
      <c r="D19" s="73">
        <v>25117000003838</v>
      </c>
      <c r="E19" s="72" t="str">
        <f t="shared" si="0"/>
        <v>الاهلي المصري</v>
      </c>
      <c r="F19" s="72" t="str">
        <f t="shared" si="1"/>
        <v>A-404</v>
      </c>
      <c r="G19" s="72" t="str">
        <f t="shared" si="2"/>
        <v>الاهلي المصري</v>
      </c>
      <c r="H19" s="72" t="str">
        <f t="shared" si="3"/>
        <v>A-404</v>
      </c>
      <c r="I19" s="74"/>
      <c r="J19" s="75"/>
      <c r="K19" s="76"/>
    </row>
    <row r="20" spans="1:11" ht="25.8" x14ac:dyDescent="0.3">
      <c r="A20" s="70">
        <v>9</v>
      </c>
      <c r="B20" s="71">
        <v>99000</v>
      </c>
      <c r="C20" s="72">
        <v>47527</v>
      </c>
      <c r="D20" s="73">
        <v>25117000003839</v>
      </c>
      <c r="E20" s="72" t="str">
        <f t="shared" si="0"/>
        <v>الاهلي المصري</v>
      </c>
      <c r="F20" s="72" t="str">
        <f t="shared" si="1"/>
        <v>A-404</v>
      </c>
      <c r="G20" s="72" t="str">
        <f t="shared" si="2"/>
        <v>الاهلي المصري</v>
      </c>
      <c r="H20" s="72" t="str">
        <f t="shared" si="3"/>
        <v>A-404</v>
      </c>
      <c r="I20" s="74"/>
      <c r="J20" s="75"/>
      <c r="K20" s="76"/>
    </row>
    <row r="21" spans="1:11" ht="25.8" x14ac:dyDescent="0.3">
      <c r="A21" s="70">
        <v>10</v>
      </c>
      <c r="B21" s="71">
        <v>99000</v>
      </c>
      <c r="C21" s="72">
        <v>47616</v>
      </c>
      <c r="D21" s="73">
        <v>25117000003840</v>
      </c>
      <c r="E21" s="72" t="str">
        <f t="shared" si="0"/>
        <v>الاهلي المصري</v>
      </c>
      <c r="F21" s="72" t="str">
        <f t="shared" si="1"/>
        <v>A-404</v>
      </c>
      <c r="G21" s="72" t="str">
        <f t="shared" si="2"/>
        <v>الاهلي المصري</v>
      </c>
      <c r="H21" s="72" t="str">
        <f t="shared" si="3"/>
        <v>A-404</v>
      </c>
      <c r="I21" s="74"/>
      <c r="J21" s="75"/>
      <c r="K21" s="76"/>
    </row>
    <row r="22" spans="1:11" ht="25.8" x14ac:dyDescent="0.3">
      <c r="A22" s="70">
        <v>11</v>
      </c>
      <c r="B22" s="71">
        <v>99000</v>
      </c>
      <c r="C22" s="72">
        <v>47708</v>
      </c>
      <c r="D22" s="73">
        <v>25117000003841</v>
      </c>
      <c r="E22" s="72" t="str">
        <f t="shared" si="0"/>
        <v>الاهلي المصري</v>
      </c>
      <c r="F22" s="72" t="str">
        <f t="shared" si="1"/>
        <v>A-404</v>
      </c>
      <c r="G22" s="72" t="str">
        <f t="shared" si="2"/>
        <v>الاهلي المصري</v>
      </c>
      <c r="H22" s="72" t="str">
        <f t="shared" si="3"/>
        <v>A-404</v>
      </c>
      <c r="I22" s="74"/>
      <c r="J22" s="75"/>
      <c r="K22" s="76"/>
    </row>
    <row r="23" spans="1:11" ht="25.8" x14ac:dyDescent="0.3">
      <c r="A23" s="70">
        <v>12</v>
      </c>
      <c r="B23" s="71">
        <v>99000</v>
      </c>
      <c r="C23" s="72">
        <v>47800</v>
      </c>
      <c r="D23" s="73">
        <v>25117000003842</v>
      </c>
      <c r="E23" s="72" t="str">
        <f t="shared" si="0"/>
        <v>الاهلي المصري</v>
      </c>
      <c r="F23" s="72" t="str">
        <f t="shared" si="1"/>
        <v>A-404</v>
      </c>
      <c r="G23" s="72" t="str">
        <f t="shared" si="2"/>
        <v>الاهلي المصري</v>
      </c>
      <c r="H23" s="72" t="str">
        <f t="shared" si="3"/>
        <v>A-404</v>
      </c>
      <c r="I23" s="74"/>
      <c r="J23" s="75"/>
      <c r="K23" s="76"/>
    </row>
    <row r="24" spans="1:11" ht="25.8" x14ac:dyDescent="0.3">
      <c r="A24" s="70">
        <v>13</v>
      </c>
      <c r="B24" s="71">
        <v>99000</v>
      </c>
      <c r="C24" s="72">
        <v>47892</v>
      </c>
      <c r="D24" s="73">
        <v>25117000003843</v>
      </c>
      <c r="E24" s="72" t="str">
        <f t="shared" si="0"/>
        <v>الاهلي المصري</v>
      </c>
      <c r="F24" s="72" t="str">
        <f t="shared" si="1"/>
        <v>A-404</v>
      </c>
      <c r="G24" s="72" t="str">
        <f t="shared" si="2"/>
        <v>الاهلي المصري</v>
      </c>
      <c r="H24" s="72" t="str">
        <f t="shared" si="3"/>
        <v>A-404</v>
      </c>
      <c r="I24" s="74"/>
      <c r="J24" s="75"/>
      <c r="K24" s="76"/>
    </row>
    <row r="25" spans="1:11" ht="25.8" x14ac:dyDescent="0.3">
      <c r="A25" s="70">
        <v>14</v>
      </c>
      <c r="B25" s="71">
        <v>99000</v>
      </c>
      <c r="C25" s="72">
        <v>47981</v>
      </c>
      <c r="D25" s="73">
        <v>25117000003844</v>
      </c>
      <c r="E25" s="72" t="str">
        <f t="shared" si="0"/>
        <v>الاهلي المصري</v>
      </c>
      <c r="F25" s="72" t="str">
        <f t="shared" si="1"/>
        <v>A-404</v>
      </c>
      <c r="G25" s="72" t="str">
        <f t="shared" si="2"/>
        <v>الاهلي المصري</v>
      </c>
      <c r="H25" s="72" t="str">
        <f t="shared" si="3"/>
        <v>A-404</v>
      </c>
      <c r="I25" s="74"/>
      <c r="J25" s="75"/>
      <c r="K25" s="76"/>
    </row>
    <row r="26" spans="1:11" ht="25.8" x14ac:dyDescent="0.3">
      <c r="A26" s="70">
        <v>15</v>
      </c>
      <c r="B26" s="71">
        <v>99000</v>
      </c>
      <c r="C26" s="72">
        <v>48073</v>
      </c>
      <c r="D26" s="73">
        <v>25117000003845</v>
      </c>
      <c r="E26" s="72" t="str">
        <f t="shared" si="0"/>
        <v>الاهلي المصري</v>
      </c>
      <c r="F26" s="72" t="str">
        <f t="shared" si="1"/>
        <v>A-404</v>
      </c>
      <c r="G26" s="72" t="str">
        <f t="shared" si="2"/>
        <v>الاهلي المصري</v>
      </c>
      <c r="H26" s="72" t="str">
        <f t="shared" si="3"/>
        <v>A-404</v>
      </c>
      <c r="I26" s="74"/>
      <c r="J26" s="75"/>
      <c r="K26" s="76"/>
    </row>
    <row r="27" spans="1:11" ht="25.8" x14ac:dyDescent="0.3">
      <c r="A27" s="70">
        <v>16</v>
      </c>
      <c r="B27" s="71">
        <v>99000</v>
      </c>
      <c r="C27" s="72">
        <v>48165</v>
      </c>
      <c r="D27" s="73">
        <v>25117000003846</v>
      </c>
      <c r="E27" s="72" t="str">
        <f t="shared" si="0"/>
        <v>الاهلي المصري</v>
      </c>
      <c r="F27" s="72" t="str">
        <f t="shared" si="1"/>
        <v>A-404</v>
      </c>
      <c r="G27" s="72" t="str">
        <f t="shared" si="2"/>
        <v>الاهلي المصري</v>
      </c>
      <c r="H27" s="72" t="str">
        <f t="shared" si="3"/>
        <v>A-404</v>
      </c>
      <c r="I27" s="74"/>
      <c r="J27" s="75"/>
      <c r="K27" s="76"/>
    </row>
    <row r="28" spans="1:11" ht="25.8" x14ac:dyDescent="0.3">
      <c r="A28" s="70">
        <v>17</v>
      </c>
      <c r="B28" s="71">
        <v>99000</v>
      </c>
      <c r="C28" s="72">
        <v>48257</v>
      </c>
      <c r="D28" s="73">
        <v>25117000003847</v>
      </c>
      <c r="E28" s="72" t="str">
        <f t="shared" si="0"/>
        <v>الاهلي المصري</v>
      </c>
      <c r="F28" s="72" t="str">
        <f t="shared" si="1"/>
        <v>A-404</v>
      </c>
      <c r="G28" s="72" t="str">
        <f t="shared" si="2"/>
        <v>الاهلي المصري</v>
      </c>
      <c r="H28" s="72" t="str">
        <f t="shared" si="3"/>
        <v>A-404</v>
      </c>
      <c r="I28" s="74"/>
      <c r="J28" s="75"/>
      <c r="K28" s="76"/>
    </row>
    <row r="29" spans="1:11" ht="25.8" x14ac:dyDescent="0.3">
      <c r="A29" s="70">
        <v>18</v>
      </c>
      <c r="B29" s="71">
        <v>99000</v>
      </c>
      <c r="C29" s="72">
        <v>48347</v>
      </c>
      <c r="D29" s="73">
        <v>25117000003848</v>
      </c>
      <c r="E29" s="72" t="str">
        <f t="shared" si="0"/>
        <v>الاهلي المصري</v>
      </c>
      <c r="F29" s="72" t="str">
        <f t="shared" si="1"/>
        <v>A-404</v>
      </c>
      <c r="G29" s="72" t="str">
        <f t="shared" si="2"/>
        <v>الاهلي المصري</v>
      </c>
      <c r="H29" s="72" t="str">
        <f t="shared" si="3"/>
        <v>A-404</v>
      </c>
      <c r="I29" s="74"/>
      <c r="J29" s="75"/>
      <c r="K29" s="76"/>
    </row>
    <row r="30" spans="1:11" ht="25.8" x14ac:dyDescent="0.3">
      <c r="A30" s="70">
        <v>19</v>
      </c>
      <c r="B30" s="71">
        <v>99000</v>
      </c>
      <c r="C30" s="72">
        <v>48439</v>
      </c>
      <c r="D30" s="73">
        <v>25117000003849</v>
      </c>
      <c r="E30" s="72" t="str">
        <f t="shared" si="0"/>
        <v>الاهلي المصري</v>
      </c>
      <c r="F30" s="72" t="str">
        <f t="shared" si="1"/>
        <v>A-404</v>
      </c>
      <c r="G30" s="72" t="str">
        <f t="shared" si="2"/>
        <v>الاهلي المصري</v>
      </c>
      <c r="H30" s="72" t="str">
        <f t="shared" si="3"/>
        <v>A-404</v>
      </c>
      <c r="I30" s="74"/>
      <c r="J30" s="75"/>
      <c r="K30" s="76"/>
    </row>
    <row r="31" spans="1:11" ht="25.8" x14ac:dyDescent="0.3">
      <c r="A31" s="70">
        <v>20</v>
      </c>
      <c r="B31" s="71">
        <v>99000</v>
      </c>
      <c r="C31" s="72">
        <v>48531</v>
      </c>
      <c r="D31" s="73">
        <v>25117000003850</v>
      </c>
      <c r="E31" s="72" t="str">
        <f t="shared" si="0"/>
        <v>الاهلي المصري</v>
      </c>
      <c r="F31" s="72" t="str">
        <f t="shared" si="1"/>
        <v>A-404</v>
      </c>
      <c r="G31" s="72" t="str">
        <f t="shared" si="2"/>
        <v>الاهلي المصري</v>
      </c>
      <c r="H31" s="72" t="str">
        <f t="shared" si="3"/>
        <v>A-404</v>
      </c>
      <c r="I31" s="74"/>
      <c r="J31" s="75"/>
      <c r="K31" s="76"/>
    </row>
    <row r="32" spans="1:11" ht="25.8" x14ac:dyDescent="0.3">
      <c r="A32" s="70">
        <v>21</v>
      </c>
      <c r="B32" s="71">
        <v>99000</v>
      </c>
      <c r="C32" s="72">
        <v>48623</v>
      </c>
      <c r="D32" s="73">
        <v>25117000003851</v>
      </c>
      <c r="E32" s="72" t="str">
        <f t="shared" si="0"/>
        <v>الاهلي المصري</v>
      </c>
      <c r="F32" s="72" t="str">
        <f t="shared" si="1"/>
        <v>A-404</v>
      </c>
      <c r="G32" s="72" t="str">
        <f t="shared" si="2"/>
        <v>الاهلي المصري</v>
      </c>
      <c r="H32" s="72" t="str">
        <f t="shared" si="3"/>
        <v>A-404</v>
      </c>
      <c r="I32" s="74"/>
      <c r="J32" s="75"/>
      <c r="K32" s="76"/>
    </row>
    <row r="33" spans="1:11" ht="25.8" x14ac:dyDescent="0.3">
      <c r="A33" s="70">
        <v>22</v>
      </c>
      <c r="B33" s="71">
        <v>99000</v>
      </c>
      <c r="C33" s="72">
        <v>48712</v>
      </c>
      <c r="D33" s="73">
        <v>25117000003852</v>
      </c>
      <c r="E33" s="72" t="str">
        <f t="shared" si="0"/>
        <v>الاهلي المصري</v>
      </c>
      <c r="F33" s="72" t="str">
        <f t="shared" si="1"/>
        <v>A-404</v>
      </c>
      <c r="G33" s="72" t="str">
        <f t="shared" si="2"/>
        <v>الاهلي المصري</v>
      </c>
      <c r="H33" s="72" t="str">
        <f t="shared" si="3"/>
        <v>A-404</v>
      </c>
      <c r="I33" s="74"/>
      <c r="J33" s="75"/>
      <c r="K33" s="76"/>
    </row>
    <row r="34" spans="1:11" ht="25.8" x14ac:dyDescent="0.3">
      <c r="A34" s="70">
        <v>23</v>
      </c>
      <c r="B34" s="71">
        <v>99000</v>
      </c>
      <c r="C34" s="72">
        <v>48804</v>
      </c>
      <c r="D34" s="73">
        <v>25117000003853</v>
      </c>
      <c r="E34" s="72" t="str">
        <f t="shared" si="0"/>
        <v>الاهلي المصري</v>
      </c>
      <c r="F34" s="72" t="str">
        <f t="shared" si="1"/>
        <v>A-404</v>
      </c>
      <c r="G34" s="72" t="str">
        <f t="shared" si="2"/>
        <v>الاهلي المصري</v>
      </c>
      <c r="H34" s="72" t="str">
        <f t="shared" si="3"/>
        <v>A-404</v>
      </c>
      <c r="I34" s="74"/>
      <c r="J34" s="75"/>
      <c r="K34" s="76"/>
    </row>
    <row r="35" spans="1:11" ht="25.8" x14ac:dyDescent="0.3">
      <c r="A35" s="70">
        <v>24</v>
      </c>
      <c r="B35" s="71">
        <v>99000</v>
      </c>
      <c r="C35" s="72">
        <v>48896</v>
      </c>
      <c r="D35" s="73">
        <v>25117000003854</v>
      </c>
      <c r="E35" s="72" t="str">
        <f t="shared" si="0"/>
        <v>الاهلي المصري</v>
      </c>
      <c r="F35" s="72" t="str">
        <f t="shared" si="1"/>
        <v>A-404</v>
      </c>
      <c r="G35" s="72" t="str">
        <f t="shared" si="2"/>
        <v>الاهلي المصري</v>
      </c>
      <c r="H35" s="72" t="str">
        <f t="shared" si="3"/>
        <v>A-404</v>
      </c>
      <c r="I35" s="74"/>
      <c r="J35" s="75"/>
      <c r="K35" s="76"/>
    </row>
    <row r="36" spans="1:11" ht="25.8" x14ac:dyDescent="0.3">
      <c r="A36" s="70">
        <v>25</v>
      </c>
      <c r="B36" s="71">
        <v>99000</v>
      </c>
      <c r="C36" s="72">
        <v>48988</v>
      </c>
      <c r="D36" s="73">
        <v>25117000003855</v>
      </c>
      <c r="E36" s="72" t="str">
        <f t="shared" si="0"/>
        <v>الاهلي المصري</v>
      </c>
      <c r="F36" s="72" t="str">
        <f t="shared" si="1"/>
        <v>A-404</v>
      </c>
      <c r="G36" s="72" t="str">
        <f t="shared" si="2"/>
        <v>الاهلي المصري</v>
      </c>
      <c r="H36" s="72" t="str">
        <f t="shared" si="3"/>
        <v>A-404</v>
      </c>
      <c r="I36" s="74"/>
      <c r="J36" s="75"/>
      <c r="K36" s="76"/>
    </row>
    <row r="37" spans="1:11" ht="25.8" x14ac:dyDescent="0.3">
      <c r="A37" s="70">
        <v>26</v>
      </c>
      <c r="B37" s="71">
        <v>99000</v>
      </c>
      <c r="C37" s="72">
        <v>49077</v>
      </c>
      <c r="D37" s="73">
        <v>25117000003856</v>
      </c>
      <c r="E37" s="72" t="str">
        <f t="shared" si="0"/>
        <v>الاهلي المصري</v>
      </c>
      <c r="F37" s="72" t="str">
        <f t="shared" si="1"/>
        <v>A-404</v>
      </c>
      <c r="G37" s="72" t="str">
        <f t="shared" si="2"/>
        <v>الاهلي المصري</v>
      </c>
      <c r="H37" s="72" t="str">
        <f t="shared" si="3"/>
        <v>A-404</v>
      </c>
      <c r="I37" s="74"/>
      <c r="J37" s="75"/>
      <c r="K37" s="76"/>
    </row>
    <row r="38" spans="1:11" ht="25.8" x14ac:dyDescent="0.3">
      <c r="A38" s="70">
        <v>27</v>
      </c>
      <c r="B38" s="71">
        <v>99000</v>
      </c>
      <c r="C38" s="72">
        <v>49169</v>
      </c>
      <c r="D38" s="73">
        <v>25117000003857</v>
      </c>
      <c r="E38" s="72" t="str">
        <f t="shared" si="0"/>
        <v>الاهلي المصري</v>
      </c>
      <c r="F38" s="72" t="str">
        <f t="shared" si="1"/>
        <v>A-404</v>
      </c>
      <c r="G38" s="72" t="str">
        <f t="shared" si="2"/>
        <v>الاهلي المصري</v>
      </c>
      <c r="H38" s="72" t="str">
        <f t="shared" si="3"/>
        <v>A-404</v>
      </c>
      <c r="I38" s="74"/>
      <c r="J38" s="75"/>
      <c r="K38" s="76"/>
    </row>
    <row r="39" spans="1:11" ht="25.8" x14ac:dyDescent="0.3">
      <c r="A39" s="70">
        <v>28</v>
      </c>
      <c r="B39" s="71">
        <v>99000</v>
      </c>
      <c r="C39" s="72">
        <v>49261</v>
      </c>
      <c r="D39" s="73">
        <v>25117000003858</v>
      </c>
      <c r="E39" s="72" t="str">
        <f t="shared" si="0"/>
        <v>الاهلي المصري</v>
      </c>
      <c r="F39" s="72" t="str">
        <f t="shared" si="1"/>
        <v>A-404</v>
      </c>
      <c r="G39" s="72" t="str">
        <f t="shared" si="2"/>
        <v>الاهلي المصري</v>
      </c>
      <c r="H39" s="72" t="str">
        <f t="shared" si="3"/>
        <v>A-404</v>
      </c>
      <c r="I39" s="74"/>
      <c r="J39" s="75"/>
      <c r="K39" s="76"/>
    </row>
    <row r="40" spans="1:11" ht="25.8" x14ac:dyDescent="0.3">
      <c r="A40" s="70">
        <v>29</v>
      </c>
      <c r="B40" s="71">
        <v>99000</v>
      </c>
      <c r="C40" s="72">
        <v>49353</v>
      </c>
      <c r="D40" s="73">
        <v>25117000003859</v>
      </c>
      <c r="E40" s="72" t="str">
        <f t="shared" si="0"/>
        <v>الاهلي المصري</v>
      </c>
      <c r="F40" s="72" t="str">
        <f t="shared" si="1"/>
        <v>A-404</v>
      </c>
      <c r="G40" s="72" t="str">
        <f t="shared" si="2"/>
        <v>الاهلي المصري</v>
      </c>
      <c r="H40" s="72" t="str">
        <f t="shared" si="3"/>
        <v>A-404</v>
      </c>
      <c r="I40" s="74"/>
      <c r="J40" s="75"/>
      <c r="K40" s="76"/>
    </row>
    <row r="41" spans="1:11" ht="25.8" x14ac:dyDescent="0.3">
      <c r="A41" s="70">
        <v>30</v>
      </c>
      <c r="B41" s="71">
        <v>99000</v>
      </c>
      <c r="C41" s="72">
        <v>49442</v>
      </c>
      <c r="D41" s="73">
        <v>25117000003860</v>
      </c>
      <c r="E41" s="72" t="str">
        <f t="shared" si="0"/>
        <v>الاهلي المصري</v>
      </c>
      <c r="F41" s="72" t="str">
        <f t="shared" si="1"/>
        <v>A-404</v>
      </c>
      <c r="G41" s="72" t="str">
        <f t="shared" si="2"/>
        <v>الاهلي المصري</v>
      </c>
      <c r="H41" s="72" t="str">
        <f t="shared" si="3"/>
        <v>A-404</v>
      </c>
      <c r="I41" s="74"/>
      <c r="J41" s="75"/>
      <c r="K41" s="76"/>
    </row>
    <row r="42" spans="1:11" ht="25.8" x14ac:dyDescent="0.3">
      <c r="A42" s="70">
        <v>31</v>
      </c>
      <c r="B42" s="71">
        <v>99000</v>
      </c>
      <c r="C42" s="72">
        <v>49534</v>
      </c>
      <c r="D42" s="73">
        <v>25117000003861</v>
      </c>
      <c r="E42" s="72" t="str">
        <f t="shared" si="0"/>
        <v>الاهلي المصري</v>
      </c>
      <c r="F42" s="72" t="str">
        <f t="shared" si="1"/>
        <v>A-404</v>
      </c>
      <c r="G42" s="72" t="str">
        <f t="shared" si="2"/>
        <v>الاهلي المصري</v>
      </c>
      <c r="H42" s="72" t="str">
        <f t="shared" si="3"/>
        <v>A-404</v>
      </c>
      <c r="I42" s="74"/>
      <c r="J42" s="75"/>
      <c r="K42" s="76"/>
    </row>
    <row r="43" spans="1:11" ht="25.8" x14ac:dyDescent="0.3">
      <c r="A43" s="70">
        <v>32</v>
      </c>
      <c r="B43" s="71">
        <v>99000</v>
      </c>
      <c r="C43" s="72">
        <v>49626</v>
      </c>
      <c r="D43" s="73">
        <v>25117000003862</v>
      </c>
      <c r="E43" s="72" t="str">
        <f t="shared" si="0"/>
        <v>الاهلي المصري</v>
      </c>
      <c r="F43" s="72" t="str">
        <f t="shared" si="1"/>
        <v>A-404</v>
      </c>
      <c r="G43" s="72" t="str">
        <f t="shared" si="2"/>
        <v>الاهلي المصري</v>
      </c>
      <c r="H43" s="72" t="str">
        <f t="shared" si="3"/>
        <v>A-404</v>
      </c>
      <c r="I43" s="74"/>
      <c r="J43" s="75"/>
      <c r="K43" s="76"/>
    </row>
    <row r="44" spans="1:11" ht="25.8" x14ac:dyDescent="0.3">
      <c r="A44" s="70">
        <v>33</v>
      </c>
      <c r="B44" s="71">
        <v>99000</v>
      </c>
      <c r="C44" s="72">
        <v>49718</v>
      </c>
      <c r="D44" s="73">
        <v>25117000003863</v>
      </c>
      <c r="E44" s="72" t="str">
        <f t="shared" si="0"/>
        <v>الاهلي المصري</v>
      </c>
      <c r="F44" s="72" t="str">
        <f t="shared" si="1"/>
        <v>A-404</v>
      </c>
      <c r="G44" s="72" t="str">
        <f t="shared" si="2"/>
        <v>الاهلي المصري</v>
      </c>
      <c r="H44" s="72" t="str">
        <f t="shared" si="3"/>
        <v>A-404</v>
      </c>
      <c r="I44" s="74"/>
      <c r="J44" s="75"/>
      <c r="K44" s="76"/>
    </row>
    <row r="45" spans="1:11" ht="25.8" x14ac:dyDescent="0.3">
      <c r="A45" s="70">
        <v>34</v>
      </c>
      <c r="B45" s="71">
        <v>99000</v>
      </c>
      <c r="C45" s="72">
        <v>49808</v>
      </c>
      <c r="D45" s="73">
        <v>25117000003864</v>
      </c>
      <c r="E45" s="72" t="str">
        <f t="shared" si="0"/>
        <v>الاهلي المصري</v>
      </c>
      <c r="F45" s="72" t="str">
        <f t="shared" si="1"/>
        <v>A-404</v>
      </c>
      <c r="G45" s="72" t="str">
        <f t="shared" si="2"/>
        <v>الاهلي المصري</v>
      </c>
      <c r="H45" s="72" t="str">
        <f t="shared" si="3"/>
        <v>A-404</v>
      </c>
      <c r="I45" s="74"/>
      <c r="J45" s="75"/>
      <c r="K45" s="76"/>
    </row>
    <row r="46" spans="1:11" ht="25.8" x14ac:dyDescent="0.3">
      <c r="A46" s="70">
        <v>35</v>
      </c>
      <c r="B46" s="71">
        <v>93659</v>
      </c>
      <c r="C46" s="72">
        <v>49900</v>
      </c>
      <c r="D46" s="73">
        <v>25117000003865</v>
      </c>
      <c r="E46" s="72" t="str">
        <f t="shared" si="0"/>
        <v>الاهلي المصري</v>
      </c>
      <c r="F46" s="72" t="str">
        <f t="shared" si="1"/>
        <v>A-404</v>
      </c>
      <c r="G46" s="72" t="str">
        <f t="shared" si="2"/>
        <v>الاهلي المصري</v>
      </c>
      <c r="H46" s="72" t="str">
        <f t="shared" si="3"/>
        <v>A-404</v>
      </c>
      <c r="I46" s="74"/>
      <c r="J46" s="75"/>
      <c r="K46" s="76"/>
    </row>
    <row r="47" spans="1:11" ht="25.8" x14ac:dyDescent="0.3">
      <c r="A47" s="45"/>
      <c r="B47" s="46"/>
      <c r="C47" s="46"/>
      <c r="D47" s="47"/>
      <c r="E47" s="48"/>
      <c r="F47" s="73"/>
      <c r="G47" s="45"/>
      <c r="H47" s="2"/>
      <c r="I47" s="46"/>
      <c r="J47" s="2"/>
      <c r="K47" s="2"/>
    </row>
    <row r="48" spans="1:11" ht="29.4" thickBot="1" x14ac:dyDescent="0.35">
      <c r="A48" s="50"/>
      <c r="B48" s="84">
        <f>SUM(B12:B47)</f>
        <v>3459659</v>
      </c>
      <c r="C48" s="84"/>
      <c r="D48" s="51"/>
      <c r="E48" s="52"/>
      <c r="F48" s="77"/>
      <c r="G48" s="54"/>
      <c r="H48" s="55"/>
      <c r="I48" s="56"/>
      <c r="J48" s="55"/>
      <c r="K48" s="55"/>
    </row>
    <row r="49" spans="1:11" ht="21.6" thickTop="1" x14ac:dyDescent="0.4">
      <c r="A49" s="16"/>
      <c r="D49" s="47"/>
      <c r="E49" s="57"/>
      <c r="F49" s="49"/>
      <c r="I49" s="16"/>
    </row>
    <row r="50" spans="1:11" ht="62.55" customHeight="1" x14ac:dyDescent="0.55000000000000004">
      <c r="A50" s="85" t="s">
        <v>45</v>
      </c>
      <c r="B50" s="85"/>
      <c r="C50" s="85"/>
      <c r="D50" s="85"/>
      <c r="E50" s="85"/>
      <c r="F50" s="85"/>
      <c r="G50" s="59"/>
      <c r="H50" s="59"/>
      <c r="I50" s="58"/>
      <c r="J50" s="59"/>
      <c r="K50" s="59"/>
    </row>
    <row r="51" spans="1:11" ht="55.95" customHeight="1" x14ac:dyDescent="0.3">
      <c r="A51" s="85" t="s">
        <v>46</v>
      </c>
      <c r="B51" s="85"/>
      <c r="C51" s="85"/>
      <c r="D51" s="85"/>
      <c r="E51" s="85"/>
      <c r="F51" s="85"/>
    </row>
  </sheetData>
  <mergeCells count="9">
    <mergeCell ref="B48:C48"/>
    <mergeCell ref="A50:F50"/>
    <mergeCell ref="A51:F51"/>
    <mergeCell ref="A1:I1"/>
    <mergeCell ref="J1:K1"/>
    <mergeCell ref="B3:C3"/>
    <mergeCell ref="D3:E3"/>
    <mergeCell ref="J3:K3"/>
    <mergeCell ref="B7:E7"/>
  </mergeCells>
  <pageMargins left="0.7" right="0.7" top="0.75" bottom="0.75" header="0.3" footer="0.3"/>
  <pageSetup paperSize="9"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3BAA-61B3-4C71-8659-ABDF96498E5D}">
  <dimension ref="A1:K31"/>
  <sheetViews>
    <sheetView rightToLeft="1" view="pageBreakPreview" topLeftCell="A6" zoomScale="60" zoomScaleNormal="100" workbookViewId="0">
      <selection activeCell="B9" sqref="B9"/>
    </sheetView>
  </sheetViews>
  <sheetFormatPr defaultRowHeight="14.4" x14ac:dyDescent="0.3"/>
  <cols>
    <col min="1" max="1" width="17.6640625" customWidth="1"/>
    <col min="2" max="2" width="32.33203125" customWidth="1"/>
    <col min="3" max="3" width="20.109375" bestFit="1" customWidth="1"/>
    <col min="4" max="4" width="18.6640625" bestFit="1" customWidth="1"/>
    <col min="5" max="5" width="18.44140625" customWidth="1"/>
    <col min="6" max="6" width="15.33203125" customWidth="1"/>
    <col min="7" max="11" width="0" hidden="1" customWidth="1"/>
  </cols>
  <sheetData>
    <row r="1" spans="1:11" ht="37.200000000000003" thickBot="1" x14ac:dyDescent="0.35">
      <c r="A1" s="86" t="s">
        <v>39</v>
      </c>
      <c r="B1" s="86"/>
      <c r="C1" s="86"/>
      <c r="D1" s="86"/>
      <c r="E1" s="86"/>
      <c r="F1" s="86"/>
      <c r="G1" s="86"/>
      <c r="H1" s="86"/>
      <c r="I1" s="86"/>
      <c r="J1" s="87">
        <v>594</v>
      </c>
      <c r="K1" s="88"/>
    </row>
    <row r="2" spans="1:11" ht="21.6" thickTop="1" x14ac:dyDescent="0.4">
      <c r="A2" s="1"/>
      <c r="B2" s="2"/>
      <c r="C2" s="2"/>
      <c r="D2" s="3"/>
      <c r="E2" s="4"/>
      <c r="F2" s="5"/>
      <c r="G2" s="2"/>
      <c r="H2" s="2"/>
      <c r="I2" s="1"/>
      <c r="J2" s="2"/>
      <c r="K2" s="2"/>
    </row>
    <row r="3" spans="1:11" ht="34.200000000000003" thickBot="1" x14ac:dyDescent="0.35">
      <c r="A3" s="6" t="s">
        <v>9</v>
      </c>
      <c r="B3" s="89">
        <v>46307</v>
      </c>
      <c r="C3" s="89"/>
      <c r="D3" s="90" t="s">
        <v>10</v>
      </c>
      <c r="E3" s="91"/>
      <c r="F3" s="7" t="str">
        <f>G9</f>
        <v>A-202</v>
      </c>
      <c r="G3" s="8"/>
      <c r="H3" s="9"/>
      <c r="I3" s="10"/>
      <c r="J3" s="92">
        <f>B28</f>
        <v>3915000</v>
      </c>
      <c r="K3" s="92"/>
    </row>
    <row r="4" spans="1:11" ht="21.6" thickTop="1" x14ac:dyDescent="0.4">
      <c r="A4" s="1"/>
      <c r="B4" s="2"/>
      <c r="C4" s="2"/>
      <c r="D4" s="3"/>
      <c r="E4" s="4"/>
      <c r="F4" s="5"/>
      <c r="G4" s="2"/>
      <c r="H4" s="2"/>
      <c r="I4" s="1"/>
      <c r="J4" s="2"/>
      <c r="K4" s="2"/>
    </row>
    <row r="5" spans="1:11" ht="54" x14ac:dyDescent="0.4">
      <c r="A5" s="20" t="s">
        <v>11</v>
      </c>
      <c r="B5" s="12" t="s">
        <v>38</v>
      </c>
      <c r="C5" s="13"/>
      <c r="D5" s="14"/>
      <c r="E5" s="15"/>
      <c r="F5" s="5"/>
      <c r="G5" s="2"/>
      <c r="I5" s="16"/>
      <c r="J5" s="2"/>
      <c r="K5" s="2"/>
    </row>
    <row r="6" spans="1:11" ht="54" x14ac:dyDescent="0.4">
      <c r="A6" s="20" t="s">
        <v>40</v>
      </c>
      <c r="B6" s="12" t="s">
        <v>41</v>
      </c>
      <c r="C6" s="13"/>
      <c r="D6" s="14"/>
      <c r="E6" s="15"/>
      <c r="F6" s="5"/>
      <c r="G6" s="2"/>
      <c r="H6" s="2"/>
      <c r="I6" s="1"/>
      <c r="J6" s="2"/>
      <c r="K6" s="2"/>
    </row>
    <row r="7" spans="1:11" ht="25.8" x14ac:dyDescent="0.3">
      <c r="A7" s="20" t="s">
        <v>12</v>
      </c>
      <c r="B7" s="93" t="s">
        <v>78</v>
      </c>
      <c r="C7" s="93"/>
      <c r="D7" s="93"/>
      <c r="E7" s="93"/>
      <c r="F7" s="17"/>
      <c r="G7" s="18"/>
      <c r="H7" s="18"/>
      <c r="I7" s="19"/>
      <c r="J7" s="18"/>
      <c r="K7" s="18"/>
    </row>
    <row r="8" spans="1:11" ht="31.8" thickBot="1" x14ac:dyDescent="0.35">
      <c r="A8" s="11"/>
      <c r="B8" s="23" t="s">
        <v>79</v>
      </c>
      <c r="C8" s="18"/>
      <c r="D8" s="21"/>
      <c r="E8" s="24"/>
      <c r="F8" s="25"/>
      <c r="G8" s="26"/>
      <c r="H8" s="27" t="s">
        <v>15</v>
      </c>
      <c r="I8" s="28"/>
      <c r="J8" s="29" t="s">
        <v>26</v>
      </c>
      <c r="K8" s="18"/>
    </row>
    <row r="9" spans="1:11" ht="34.799999999999997" thickTop="1" thickBot="1" x14ac:dyDescent="0.35">
      <c r="A9" s="11" t="s">
        <v>17</v>
      </c>
      <c r="B9" s="20" t="s">
        <v>66</v>
      </c>
      <c r="C9" s="18"/>
      <c r="D9" s="21"/>
      <c r="E9" s="22"/>
      <c r="F9" s="17"/>
      <c r="G9" s="30" t="s">
        <v>33</v>
      </c>
      <c r="H9" s="31" t="s">
        <v>19</v>
      </c>
      <c r="I9" s="26"/>
      <c r="J9" s="18"/>
      <c r="K9" s="18"/>
    </row>
    <row r="10" spans="1:11" ht="25.95" customHeight="1" thickTop="1" thickBot="1" x14ac:dyDescent="0.35">
      <c r="A10" s="20" t="s">
        <v>55</v>
      </c>
      <c r="B10" s="20" t="s">
        <v>5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21.6" thickTop="1" x14ac:dyDescent="0.3">
      <c r="A11" s="60" t="s">
        <v>42</v>
      </c>
      <c r="B11" s="60" t="s">
        <v>20</v>
      </c>
      <c r="C11" s="61" t="s">
        <v>9</v>
      </c>
      <c r="D11" s="62" t="s">
        <v>21</v>
      </c>
      <c r="E11" s="63" t="s">
        <v>22</v>
      </c>
      <c r="F11" s="64" t="s">
        <v>43</v>
      </c>
      <c r="G11" s="63" t="s">
        <v>22</v>
      </c>
      <c r="H11" s="65" t="s">
        <v>23</v>
      </c>
      <c r="I11" s="66" t="s">
        <v>24</v>
      </c>
      <c r="J11" s="67"/>
      <c r="K11" s="68"/>
    </row>
    <row r="12" spans="1:11" ht="25.8" x14ac:dyDescent="0.3">
      <c r="A12" s="70">
        <v>1</v>
      </c>
      <c r="B12" s="71">
        <v>261000</v>
      </c>
      <c r="C12" s="72">
        <v>47215</v>
      </c>
      <c r="D12" s="73">
        <v>554736712</v>
      </c>
      <c r="E12" s="72" t="str">
        <f t="shared" ref="E12:E26" si="0">$J$8</f>
        <v>CIB</v>
      </c>
      <c r="F12" s="72" t="str">
        <f t="shared" ref="F12:F26" si="1">$G$9</f>
        <v>A-202</v>
      </c>
      <c r="G12" s="72" t="str">
        <f t="shared" ref="G12:G26" si="2">$J$8</f>
        <v>CIB</v>
      </c>
      <c r="H12" s="72" t="str">
        <f t="shared" ref="H12:H26" si="3">$G$9</f>
        <v>A-202</v>
      </c>
      <c r="I12" s="74"/>
      <c r="J12" s="75"/>
      <c r="K12" s="76"/>
    </row>
    <row r="13" spans="1:11" ht="25.8" x14ac:dyDescent="0.3">
      <c r="A13" s="70">
        <v>2</v>
      </c>
      <c r="B13" s="71">
        <v>261000</v>
      </c>
      <c r="C13" s="72">
        <v>47398</v>
      </c>
      <c r="D13" s="73">
        <v>554736713</v>
      </c>
      <c r="E13" s="72" t="str">
        <f t="shared" si="0"/>
        <v>CIB</v>
      </c>
      <c r="F13" s="72" t="str">
        <f t="shared" si="1"/>
        <v>A-202</v>
      </c>
      <c r="G13" s="72" t="str">
        <f t="shared" si="2"/>
        <v>CIB</v>
      </c>
      <c r="H13" s="72" t="str">
        <f t="shared" si="3"/>
        <v>A-202</v>
      </c>
      <c r="I13" s="74"/>
      <c r="J13" s="75"/>
      <c r="K13" s="76"/>
    </row>
    <row r="14" spans="1:11" ht="25.8" x14ac:dyDescent="0.3">
      <c r="A14" s="70">
        <v>3</v>
      </c>
      <c r="B14" s="71">
        <v>261000</v>
      </c>
      <c r="C14" s="72">
        <v>47580</v>
      </c>
      <c r="D14" s="73">
        <v>554736714</v>
      </c>
      <c r="E14" s="72" t="str">
        <f t="shared" si="0"/>
        <v>CIB</v>
      </c>
      <c r="F14" s="72" t="str">
        <f t="shared" si="1"/>
        <v>A-202</v>
      </c>
      <c r="G14" s="72" t="str">
        <f t="shared" si="2"/>
        <v>CIB</v>
      </c>
      <c r="H14" s="72" t="str">
        <f t="shared" si="3"/>
        <v>A-202</v>
      </c>
      <c r="I14" s="74"/>
      <c r="J14" s="75"/>
      <c r="K14" s="76"/>
    </row>
    <row r="15" spans="1:11" ht="25.8" x14ac:dyDescent="0.3">
      <c r="A15" s="70">
        <v>4</v>
      </c>
      <c r="B15" s="71">
        <v>261000</v>
      </c>
      <c r="C15" s="72">
        <v>47763</v>
      </c>
      <c r="D15" s="73">
        <v>554736715</v>
      </c>
      <c r="E15" s="72" t="str">
        <f t="shared" si="0"/>
        <v>CIB</v>
      </c>
      <c r="F15" s="72" t="str">
        <f t="shared" si="1"/>
        <v>A-202</v>
      </c>
      <c r="G15" s="72" t="str">
        <f t="shared" si="2"/>
        <v>CIB</v>
      </c>
      <c r="H15" s="72" t="str">
        <f t="shared" si="3"/>
        <v>A-202</v>
      </c>
      <c r="I15" s="74"/>
      <c r="J15" s="75"/>
      <c r="K15" s="76"/>
    </row>
    <row r="16" spans="1:11" ht="25.8" x14ac:dyDescent="0.3">
      <c r="A16" s="70">
        <v>5</v>
      </c>
      <c r="B16" s="71">
        <v>261000</v>
      </c>
      <c r="C16" s="72">
        <v>47945</v>
      </c>
      <c r="D16" s="73">
        <v>554736716</v>
      </c>
      <c r="E16" s="72" t="str">
        <f t="shared" si="0"/>
        <v>CIB</v>
      </c>
      <c r="F16" s="72" t="str">
        <f t="shared" si="1"/>
        <v>A-202</v>
      </c>
      <c r="G16" s="72" t="str">
        <f t="shared" si="2"/>
        <v>CIB</v>
      </c>
      <c r="H16" s="72" t="str">
        <f t="shared" si="3"/>
        <v>A-202</v>
      </c>
      <c r="I16" s="74"/>
      <c r="J16" s="75"/>
      <c r="K16" s="76"/>
    </row>
    <row r="17" spans="1:11" ht="25.8" x14ac:dyDescent="0.3">
      <c r="A17" s="70">
        <v>6</v>
      </c>
      <c r="B17" s="71">
        <v>261000</v>
      </c>
      <c r="C17" s="72">
        <v>48128</v>
      </c>
      <c r="D17" s="73">
        <v>554736717</v>
      </c>
      <c r="E17" s="72" t="str">
        <f t="shared" si="0"/>
        <v>CIB</v>
      </c>
      <c r="F17" s="72" t="str">
        <f t="shared" si="1"/>
        <v>A-202</v>
      </c>
      <c r="G17" s="72" t="str">
        <f t="shared" si="2"/>
        <v>CIB</v>
      </c>
      <c r="H17" s="72" t="str">
        <f t="shared" si="3"/>
        <v>A-202</v>
      </c>
      <c r="I17" s="74"/>
      <c r="J17" s="75"/>
      <c r="K17" s="76"/>
    </row>
    <row r="18" spans="1:11" ht="25.8" x14ac:dyDescent="0.3">
      <c r="A18" s="70">
        <v>7</v>
      </c>
      <c r="B18" s="71">
        <v>261000</v>
      </c>
      <c r="C18" s="72">
        <v>48311</v>
      </c>
      <c r="D18" s="73">
        <v>554736718</v>
      </c>
      <c r="E18" s="72" t="str">
        <f t="shared" si="0"/>
        <v>CIB</v>
      </c>
      <c r="F18" s="72" t="str">
        <f t="shared" si="1"/>
        <v>A-202</v>
      </c>
      <c r="G18" s="72" t="str">
        <f t="shared" si="2"/>
        <v>CIB</v>
      </c>
      <c r="H18" s="72" t="str">
        <f t="shared" si="3"/>
        <v>A-202</v>
      </c>
      <c r="I18" s="74"/>
      <c r="J18" s="75"/>
      <c r="K18" s="76"/>
    </row>
    <row r="19" spans="1:11" ht="25.8" x14ac:dyDescent="0.3">
      <c r="A19" s="70">
        <v>8</v>
      </c>
      <c r="B19" s="71">
        <v>261000</v>
      </c>
      <c r="C19" s="72">
        <v>48494</v>
      </c>
      <c r="D19" s="73">
        <v>554736719</v>
      </c>
      <c r="E19" s="72" t="str">
        <f t="shared" si="0"/>
        <v>CIB</v>
      </c>
      <c r="F19" s="72" t="str">
        <f t="shared" si="1"/>
        <v>A-202</v>
      </c>
      <c r="G19" s="72" t="str">
        <f t="shared" si="2"/>
        <v>CIB</v>
      </c>
      <c r="H19" s="72" t="str">
        <f t="shared" si="3"/>
        <v>A-202</v>
      </c>
      <c r="I19" s="74"/>
      <c r="J19" s="75"/>
      <c r="K19" s="76"/>
    </row>
    <row r="20" spans="1:11" ht="25.8" x14ac:dyDescent="0.3">
      <c r="A20" s="70">
        <v>9</v>
      </c>
      <c r="B20" s="71">
        <v>261000</v>
      </c>
      <c r="C20" s="72">
        <v>48676</v>
      </c>
      <c r="D20" s="73">
        <v>554736720</v>
      </c>
      <c r="E20" s="72" t="str">
        <f t="shared" si="0"/>
        <v>CIB</v>
      </c>
      <c r="F20" s="72" t="str">
        <f t="shared" si="1"/>
        <v>A-202</v>
      </c>
      <c r="G20" s="72" t="str">
        <f t="shared" si="2"/>
        <v>CIB</v>
      </c>
      <c r="H20" s="72" t="str">
        <f t="shared" si="3"/>
        <v>A-202</v>
      </c>
      <c r="I20" s="74"/>
      <c r="J20" s="75"/>
      <c r="K20" s="76"/>
    </row>
    <row r="21" spans="1:11" ht="25.8" x14ac:dyDescent="0.3">
      <c r="A21" s="70">
        <v>10</v>
      </c>
      <c r="B21" s="71">
        <v>261000</v>
      </c>
      <c r="C21" s="72">
        <v>48859</v>
      </c>
      <c r="D21" s="73">
        <v>554736721</v>
      </c>
      <c r="E21" s="72" t="str">
        <f t="shared" si="0"/>
        <v>CIB</v>
      </c>
      <c r="F21" s="72" t="str">
        <f t="shared" si="1"/>
        <v>A-202</v>
      </c>
      <c r="G21" s="72" t="str">
        <f t="shared" si="2"/>
        <v>CIB</v>
      </c>
      <c r="H21" s="72" t="str">
        <f t="shared" si="3"/>
        <v>A-202</v>
      </c>
      <c r="I21" s="74"/>
      <c r="J21" s="75"/>
      <c r="K21" s="76"/>
    </row>
    <row r="22" spans="1:11" ht="25.8" x14ac:dyDescent="0.3">
      <c r="A22" s="70">
        <v>11</v>
      </c>
      <c r="B22" s="71">
        <v>261000</v>
      </c>
      <c r="C22" s="72">
        <v>49041</v>
      </c>
      <c r="D22" s="73">
        <v>554736722</v>
      </c>
      <c r="E22" s="72" t="str">
        <f t="shared" si="0"/>
        <v>CIB</v>
      </c>
      <c r="F22" s="72" t="str">
        <f t="shared" si="1"/>
        <v>A-202</v>
      </c>
      <c r="G22" s="72" t="str">
        <f t="shared" si="2"/>
        <v>CIB</v>
      </c>
      <c r="H22" s="72" t="str">
        <f t="shared" si="3"/>
        <v>A-202</v>
      </c>
      <c r="I22" s="74"/>
      <c r="J22" s="75"/>
      <c r="K22" s="76"/>
    </row>
    <row r="23" spans="1:11" ht="25.8" x14ac:dyDescent="0.3">
      <c r="A23" s="70">
        <v>12</v>
      </c>
      <c r="B23" s="71">
        <v>261000</v>
      </c>
      <c r="C23" s="72">
        <v>49224</v>
      </c>
      <c r="D23" s="73">
        <v>554736723</v>
      </c>
      <c r="E23" s="72" t="str">
        <f t="shared" si="0"/>
        <v>CIB</v>
      </c>
      <c r="F23" s="72" t="str">
        <f t="shared" si="1"/>
        <v>A-202</v>
      </c>
      <c r="G23" s="72" t="str">
        <f t="shared" si="2"/>
        <v>CIB</v>
      </c>
      <c r="H23" s="72" t="str">
        <f t="shared" si="3"/>
        <v>A-202</v>
      </c>
      <c r="I23" s="74"/>
      <c r="J23" s="75"/>
      <c r="K23" s="76"/>
    </row>
    <row r="24" spans="1:11" ht="25.8" x14ac:dyDescent="0.3">
      <c r="A24" s="70">
        <v>13</v>
      </c>
      <c r="B24" s="71">
        <v>261000</v>
      </c>
      <c r="C24" s="72">
        <v>49406</v>
      </c>
      <c r="D24" s="73">
        <v>554736724</v>
      </c>
      <c r="E24" s="72" t="str">
        <f t="shared" si="0"/>
        <v>CIB</v>
      </c>
      <c r="F24" s="72" t="str">
        <f t="shared" si="1"/>
        <v>A-202</v>
      </c>
      <c r="G24" s="72" t="str">
        <f t="shared" si="2"/>
        <v>CIB</v>
      </c>
      <c r="H24" s="72" t="str">
        <f t="shared" si="3"/>
        <v>A-202</v>
      </c>
      <c r="I24" s="74"/>
      <c r="J24" s="75"/>
      <c r="K24" s="76"/>
    </row>
    <row r="25" spans="1:11" ht="25.8" x14ac:dyDescent="0.3">
      <c r="A25" s="70">
        <v>14</v>
      </c>
      <c r="B25" s="71">
        <v>261000</v>
      </c>
      <c r="C25" s="72">
        <v>49589</v>
      </c>
      <c r="D25" s="73">
        <v>554736725</v>
      </c>
      <c r="E25" s="72" t="str">
        <f t="shared" si="0"/>
        <v>CIB</v>
      </c>
      <c r="F25" s="72" t="str">
        <f t="shared" si="1"/>
        <v>A-202</v>
      </c>
      <c r="G25" s="72" t="str">
        <f t="shared" si="2"/>
        <v>CIB</v>
      </c>
      <c r="H25" s="72" t="str">
        <f t="shared" si="3"/>
        <v>A-202</v>
      </c>
      <c r="I25" s="74"/>
      <c r="J25" s="75"/>
      <c r="K25" s="76"/>
    </row>
    <row r="26" spans="1:11" ht="25.8" x14ac:dyDescent="0.3">
      <c r="A26" s="70">
        <v>15</v>
      </c>
      <c r="B26" s="71">
        <v>261000</v>
      </c>
      <c r="C26" s="72">
        <v>49772</v>
      </c>
      <c r="D26" s="73">
        <v>554736726</v>
      </c>
      <c r="E26" s="72" t="str">
        <f t="shared" si="0"/>
        <v>CIB</v>
      </c>
      <c r="F26" s="72" t="str">
        <f t="shared" si="1"/>
        <v>A-202</v>
      </c>
      <c r="G26" s="72" t="str">
        <f t="shared" si="2"/>
        <v>CIB</v>
      </c>
      <c r="H26" s="72" t="str">
        <f t="shared" si="3"/>
        <v>A-202</v>
      </c>
      <c r="I26" s="74"/>
      <c r="J26" s="75"/>
      <c r="K26" s="76"/>
    </row>
    <row r="27" spans="1:11" ht="25.8" x14ac:dyDescent="0.3">
      <c r="A27" s="45"/>
      <c r="B27" s="46"/>
      <c r="C27" s="46"/>
      <c r="D27" s="47"/>
      <c r="E27" s="48"/>
      <c r="F27" s="73"/>
      <c r="G27" s="45"/>
      <c r="H27" s="2"/>
      <c r="I27" s="46"/>
      <c r="J27" s="2"/>
      <c r="K27" s="2"/>
    </row>
    <row r="28" spans="1:11" ht="29.4" thickBot="1" x14ac:dyDescent="0.35">
      <c r="A28" s="50"/>
      <c r="B28" s="84">
        <f>SUM(B12:B27)</f>
        <v>3915000</v>
      </c>
      <c r="C28" s="84"/>
      <c r="D28" s="51"/>
      <c r="E28" s="52"/>
      <c r="F28" s="77"/>
      <c r="G28" s="54"/>
      <c r="H28" s="55"/>
      <c r="I28" s="56"/>
      <c r="J28" s="55"/>
      <c r="K28" s="55"/>
    </row>
    <row r="29" spans="1:11" ht="21.6" thickTop="1" x14ac:dyDescent="0.4">
      <c r="A29" s="16"/>
      <c r="D29" s="47"/>
      <c r="E29" s="57"/>
      <c r="F29" s="49"/>
      <c r="I29" s="16"/>
    </row>
    <row r="30" spans="1:11" ht="62.55" customHeight="1" x14ac:dyDescent="0.55000000000000004">
      <c r="A30" s="85" t="s">
        <v>45</v>
      </c>
      <c r="B30" s="85"/>
      <c r="C30" s="85"/>
      <c r="D30" s="85"/>
      <c r="E30" s="85"/>
      <c r="F30" s="85"/>
      <c r="G30" s="59"/>
      <c r="H30" s="59"/>
      <c r="I30" s="58"/>
      <c r="J30" s="59"/>
      <c r="K30" s="59"/>
    </row>
    <row r="31" spans="1:11" ht="55.95" customHeight="1" x14ac:dyDescent="0.3">
      <c r="A31" s="85" t="s">
        <v>46</v>
      </c>
      <c r="B31" s="85"/>
      <c r="C31" s="85"/>
      <c r="D31" s="85"/>
      <c r="E31" s="85"/>
      <c r="F31" s="85"/>
    </row>
  </sheetData>
  <mergeCells count="9">
    <mergeCell ref="B28:C28"/>
    <mergeCell ref="A30:F30"/>
    <mergeCell ref="A31:F31"/>
    <mergeCell ref="A1:I1"/>
    <mergeCell ref="J1:K1"/>
    <mergeCell ref="B3:C3"/>
    <mergeCell ref="D3:E3"/>
    <mergeCell ref="J3:K3"/>
    <mergeCell ref="B7:E7"/>
  </mergeCells>
  <pageMargins left="0.7" right="0.7" top="0.75" bottom="0.75" header="0.3" footer="0.3"/>
  <pageSetup paperSize="9"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08B3-B624-4284-843B-7CFC8779C536}">
  <dimension ref="A1:K51"/>
  <sheetViews>
    <sheetView rightToLeft="1" view="pageBreakPreview" topLeftCell="A7" zoomScale="60" zoomScaleNormal="70" workbookViewId="0">
      <selection activeCell="Q23" sqref="Q23"/>
    </sheetView>
  </sheetViews>
  <sheetFormatPr defaultRowHeight="14.4" x14ac:dyDescent="0.3"/>
  <cols>
    <col min="1" max="1" width="19.109375" customWidth="1"/>
    <col min="2" max="2" width="24.21875" customWidth="1"/>
    <col min="3" max="3" width="20.109375" bestFit="1" customWidth="1"/>
    <col min="4" max="4" width="30.21875" customWidth="1"/>
    <col min="5" max="5" width="23.21875" customWidth="1"/>
    <col min="6" max="6" width="27" bestFit="1" customWidth="1"/>
    <col min="7" max="7" width="20" hidden="1" customWidth="1"/>
    <col min="8" max="13" width="0" hidden="1" customWidth="1"/>
  </cols>
  <sheetData>
    <row r="1" spans="1:11" ht="37.200000000000003" thickBot="1" x14ac:dyDescent="0.35">
      <c r="A1" s="86" t="s">
        <v>8</v>
      </c>
      <c r="B1" s="86"/>
      <c r="C1" s="86"/>
      <c r="D1" s="86"/>
      <c r="E1" s="86"/>
      <c r="F1" s="86"/>
      <c r="G1" s="86"/>
      <c r="H1" s="86"/>
      <c r="I1" s="86"/>
      <c r="J1" s="87"/>
      <c r="K1" s="88"/>
    </row>
    <row r="2" spans="1:11" ht="21.6" thickTop="1" x14ac:dyDescent="0.4">
      <c r="A2" s="1"/>
      <c r="B2" s="2"/>
      <c r="C2" s="2"/>
      <c r="D2" s="3"/>
      <c r="E2" s="4"/>
      <c r="F2" s="5"/>
      <c r="G2" s="2"/>
      <c r="H2" s="2"/>
      <c r="I2" s="1"/>
      <c r="J2" s="2"/>
      <c r="K2" s="2"/>
    </row>
    <row r="3" spans="1:11" ht="34.200000000000003" thickBot="1" x14ac:dyDescent="0.35">
      <c r="A3" s="6" t="s">
        <v>9</v>
      </c>
      <c r="B3" s="89">
        <v>46307</v>
      </c>
      <c r="C3" s="89"/>
      <c r="D3" s="90" t="s">
        <v>10</v>
      </c>
      <c r="E3" s="91"/>
      <c r="F3" s="7" t="str">
        <f>G9</f>
        <v>A-302</v>
      </c>
      <c r="G3" s="8"/>
      <c r="H3" s="9"/>
      <c r="I3" s="10"/>
      <c r="J3" s="92">
        <f>B48</f>
        <v>4720077</v>
      </c>
      <c r="K3" s="92"/>
    </row>
    <row r="4" spans="1:11" ht="21.6" thickTop="1" x14ac:dyDescent="0.4">
      <c r="A4" s="1"/>
      <c r="B4" s="2"/>
      <c r="C4" s="2"/>
      <c r="D4" s="3"/>
      <c r="E4" s="4"/>
      <c r="F4" s="5"/>
      <c r="G4" s="2"/>
      <c r="H4" s="2"/>
      <c r="I4" s="1"/>
      <c r="J4" s="2"/>
      <c r="K4" s="2"/>
    </row>
    <row r="5" spans="1:11" ht="54" x14ac:dyDescent="0.4">
      <c r="A5" s="20" t="s">
        <v>11</v>
      </c>
      <c r="B5" s="12" t="s">
        <v>38</v>
      </c>
      <c r="C5" s="13"/>
      <c r="D5" s="14"/>
      <c r="E5" s="15"/>
      <c r="F5" s="5"/>
      <c r="G5" s="2"/>
      <c r="I5" s="16"/>
      <c r="J5" s="2"/>
      <c r="K5" s="2"/>
    </row>
    <row r="6" spans="1:11" ht="54" x14ac:dyDescent="0.4">
      <c r="A6" s="20" t="s">
        <v>40</v>
      </c>
      <c r="B6" s="12" t="s">
        <v>41</v>
      </c>
      <c r="C6" s="13"/>
      <c r="D6" s="14"/>
      <c r="E6" s="15"/>
      <c r="F6" s="5"/>
      <c r="G6" s="2"/>
      <c r="H6" s="2"/>
      <c r="I6" s="1"/>
      <c r="J6" s="2"/>
      <c r="K6" s="2"/>
    </row>
    <row r="7" spans="1:11" ht="25.8" x14ac:dyDescent="0.3">
      <c r="A7" s="20" t="s">
        <v>12</v>
      </c>
      <c r="B7" s="20" t="s">
        <v>63</v>
      </c>
      <c r="C7" s="20"/>
      <c r="D7" s="20"/>
      <c r="E7" s="20"/>
      <c r="F7" s="17"/>
      <c r="G7" s="18"/>
      <c r="H7" s="18"/>
      <c r="I7" s="19"/>
      <c r="J7" s="18"/>
      <c r="K7" s="18"/>
    </row>
    <row r="8" spans="1:11" ht="29.4" thickBot="1" x14ac:dyDescent="0.35">
      <c r="A8" s="11"/>
      <c r="B8" s="20" t="s">
        <v>57</v>
      </c>
      <c r="C8" s="20"/>
      <c r="D8" s="20"/>
      <c r="E8" s="20"/>
      <c r="F8" s="25"/>
      <c r="G8" s="26"/>
      <c r="H8" s="27" t="s">
        <v>15</v>
      </c>
      <c r="I8" s="28"/>
      <c r="J8" s="29" t="s">
        <v>31</v>
      </c>
      <c r="K8" s="18"/>
    </row>
    <row r="9" spans="1:11" ht="34.799999999999997" thickTop="1" thickBot="1" x14ac:dyDescent="0.35">
      <c r="A9" s="20" t="s">
        <v>17</v>
      </c>
      <c r="B9" s="20" t="s">
        <v>64</v>
      </c>
      <c r="C9" s="20"/>
      <c r="D9" s="20"/>
      <c r="E9" s="20"/>
      <c r="F9" s="17"/>
      <c r="G9" s="30" t="s">
        <v>32</v>
      </c>
      <c r="H9" s="31" t="s">
        <v>19</v>
      </c>
      <c r="I9" s="26"/>
      <c r="J9" s="18"/>
      <c r="K9" s="18"/>
    </row>
    <row r="10" spans="1:11" ht="27.45" customHeight="1" thickTop="1" thickBot="1" x14ac:dyDescent="0.35">
      <c r="A10" s="20" t="s">
        <v>55</v>
      </c>
      <c r="B10" s="20" t="s">
        <v>65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21.6" thickTop="1" x14ac:dyDescent="0.3">
      <c r="A11" s="60" t="s">
        <v>42</v>
      </c>
      <c r="B11" s="60" t="s">
        <v>20</v>
      </c>
      <c r="C11" s="61" t="s">
        <v>9</v>
      </c>
      <c r="D11" s="62" t="s">
        <v>21</v>
      </c>
      <c r="E11" s="63" t="s">
        <v>22</v>
      </c>
      <c r="F11" s="64" t="s">
        <v>43</v>
      </c>
      <c r="G11" s="63" t="s">
        <v>22</v>
      </c>
      <c r="H11" s="65" t="s">
        <v>23</v>
      </c>
      <c r="I11" s="66" t="s">
        <v>24</v>
      </c>
      <c r="J11" s="67"/>
      <c r="K11" s="68"/>
    </row>
    <row r="12" spans="1:11" ht="25.8" x14ac:dyDescent="0.3">
      <c r="A12" s="70">
        <v>1</v>
      </c>
      <c r="B12" s="71">
        <v>247005</v>
      </c>
      <c r="C12" s="72">
        <v>46598</v>
      </c>
      <c r="D12" s="73">
        <v>92020221102122</v>
      </c>
      <c r="E12" s="72" t="str">
        <f t="shared" ref="E12:E46" si="0">$J$8</f>
        <v>فيصل الاسلامي</v>
      </c>
      <c r="F12" s="72" t="str">
        <f t="shared" ref="F12:F46" si="1">$G$9</f>
        <v>A-302</v>
      </c>
      <c r="G12" s="72" t="str">
        <f t="shared" ref="G12:G46" si="2">$J$8</f>
        <v>فيصل الاسلامي</v>
      </c>
      <c r="H12" s="72" t="str">
        <f t="shared" ref="H12:H46" si="3">$G$9</f>
        <v>A-302</v>
      </c>
      <c r="I12" s="74"/>
      <c r="J12" s="75"/>
      <c r="K12" s="76"/>
    </row>
    <row r="13" spans="1:11" ht="25.8" x14ac:dyDescent="0.3">
      <c r="A13" s="70">
        <v>2</v>
      </c>
      <c r="B13" s="71">
        <v>90000</v>
      </c>
      <c r="C13" s="72">
        <v>46690</v>
      </c>
      <c r="D13" s="73">
        <v>92020221102123</v>
      </c>
      <c r="E13" s="72" t="str">
        <f t="shared" si="0"/>
        <v>فيصل الاسلامي</v>
      </c>
      <c r="F13" s="72" t="str">
        <f t="shared" si="1"/>
        <v>A-302</v>
      </c>
      <c r="G13" s="72" t="str">
        <f t="shared" si="2"/>
        <v>فيصل الاسلامي</v>
      </c>
      <c r="H13" s="72" t="str">
        <f t="shared" si="3"/>
        <v>A-302</v>
      </c>
      <c r="I13" s="74"/>
      <c r="J13" s="75"/>
      <c r="K13" s="76"/>
    </row>
    <row r="14" spans="1:11" ht="25.8" x14ac:dyDescent="0.3">
      <c r="A14" s="70">
        <v>3</v>
      </c>
      <c r="B14" s="71">
        <v>247008</v>
      </c>
      <c r="C14" s="72">
        <v>46964</v>
      </c>
      <c r="D14" s="73">
        <v>92020221102126</v>
      </c>
      <c r="E14" s="72" t="str">
        <f t="shared" si="0"/>
        <v>فيصل الاسلامي</v>
      </c>
      <c r="F14" s="72" t="str">
        <f t="shared" si="1"/>
        <v>A-302</v>
      </c>
      <c r="G14" s="72" t="str">
        <f t="shared" si="2"/>
        <v>فيصل الاسلامي</v>
      </c>
      <c r="H14" s="72" t="str">
        <f t="shared" si="3"/>
        <v>A-302</v>
      </c>
      <c r="I14" s="74"/>
      <c r="J14" s="75"/>
      <c r="K14" s="76"/>
    </row>
    <row r="15" spans="1:11" ht="25.8" x14ac:dyDescent="0.3">
      <c r="A15" s="70">
        <v>4</v>
      </c>
      <c r="B15" s="71">
        <v>90000</v>
      </c>
      <c r="C15" s="72">
        <v>47056</v>
      </c>
      <c r="D15" s="73">
        <v>92020221102136</v>
      </c>
      <c r="E15" s="72" t="str">
        <f t="shared" si="0"/>
        <v>فيصل الاسلامي</v>
      </c>
      <c r="F15" s="72" t="str">
        <f t="shared" si="1"/>
        <v>A-302</v>
      </c>
      <c r="G15" s="72" t="str">
        <f t="shared" si="2"/>
        <v>فيصل الاسلامي</v>
      </c>
      <c r="H15" s="72" t="str">
        <f t="shared" si="3"/>
        <v>A-302</v>
      </c>
      <c r="I15" s="74"/>
      <c r="J15" s="75"/>
      <c r="K15" s="76"/>
    </row>
    <row r="16" spans="1:11" ht="25.8" x14ac:dyDescent="0.3">
      <c r="A16" s="70">
        <v>5</v>
      </c>
      <c r="B16" s="71">
        <v>90000</v>
      </c>
      <c r="C16" s="72">
        <v>47148</v>
      </c>
      <c r="D16" s="73">
        <v>92020221102137</v>
      </c>
      <c r="E16" s="72" t="str">
        <f t="shared" si="0"/>
        <v>فيصل الاسلامي</v>
      </c>
      <c r="F16" s="72" t="str">
        <f t="shared" si="1"/>
        <v>A-302</v>
      </c>
      <c r="G16" s="72" t="str">
        <f t="shared" si="2"/>
        <v>فيصل الاسلامي</v>
      </c>
      <c r="H16" s="72" t="str">
        <f t="shared" si="3"/>
        <v>A-302</v>
      </c>
      <c r="I16" s="74"/>
      <c r="J16" s="75"/>
      <c r="K16" s="76"/>
    </row>
    <row r="17" spans="1:11" ht="25.8" x14ac:dyDescent="0.3">
      <c r="A17" s="70">
        <v>6</v>
      </c>
      <c r="B17" s="71">
        <v>90000</v>
      </c>
      <c r="C17" s="72">
        <v>47238</v>
      </c>
      <c r="D17" s="73">
        <v>92020221102138</v>
      </c>
      <c r="E17" s="72" t="str">
        <f t="shared" si="0"/>
        <v>فيصل الاسلامي</v>
      </c>
      <c r="F17" s="72" t="str">
        <f t="shared" si="1"/>
        <v>A-302</v>
      </c>
      <c r="G17" s="72" t="str">
        <f t="shared" si="2"/>
        <v>فيصل الاسلامي</v>
      </c>
      <c r="H17" s="72" t="str">
        <f t="shared" si="3"/>
        <v>A-302</v>
      </c>
      <c r="I17" s="74"/>
      <c r="J17" s="75"/>
      <c r="K17" s="76"/>
    </row>
    <row r="18" spans="1:11" ht="25.8" x14ac:dyDescent="0.3">
      <c r="A18" s="70">
        <v>7</v>
      </c>
      <c r="B18" s="71">
        <v>247008</v>
      </c>
      <c r="C18" s="72">
        <v>47329</v>
      </c>
      <c r="D18" s="73">
        <v>92020221102127</v>
      </c>
      <c r="E18" s="72" t="str">
        <f t="shared" si="0"/>
        <v>فيصل الاسلامي</v>
      </c>
      <c r="F18" s="72" t="str">
        <f t="shared" si="1"/>
        <v>A-302</v>
      </c>
      <c r="G18" s="72" t="str">
        <f t="shared" si="2"/>
        <v>فيصل الاسلامي</v>
      </c>
      <c r="H18" s="72" t="str">
        <f t="shared" si="3"/>
        <v>A-302</v>
      </c>
      <c r="I18" s="74"/>
      <c r="J18" s="75"/>
      <c r="K18" s="76"/>
    </row>
    <row r="19" spans="1:11" ht="25.8" x14ac:dyDescent="0.3">
      <c r="A19" s="70">
        <v>8</v>
      </c>
      <c r="B19" s="71">
        <v>90000</v>
      </c>
      <c r="C19" s="72">
        <v>47421</v>
      </c>
      <c r="D19" s="73">
        <v>92020221102139</v>
      </c>
      <c r="E19" s="72" t="str">
        <f t="shared" si="0"/>
        <v>فيصل الاسلامي</v>
      </c>
      <c r="F19" s="72" t="str">
        <f t="shared" si="1"/>
        <v>A-302</v>
      </c>
      <c r="G19" s="72" t="str">
        <f t="shared" si="2"/>
        <v>فيصل الاسلامي</v>
      </c>
      <c r="H19" s="72" t="str">
        <f t="shared" si="3"/>
        <v>A-302</v>
      </c>
      <c r="I19" s="74"/>
      <c r="J19" s="75"/>
      <c r="K19" s="76"/>
    </row>
    <row r="20" spans="1:11" ht="25.8" x14ac:dyDescent="0.3">
      <c r="A20" s="70">
        <v>9</v>
      </c>
      <c r="B20" s="71">
        <v>90000</v>
      </c>
      <c r="C20" s="72">
        <v>47513</v>
      </c>
      <c r="D20" s="73">
        <v>92020221102140</v>
      </c>
      <c r="E20" s="72" t="str">
        <f t="shared" si="0"/>
        <v>فيصل الاسلامي</v>
      </c>
      <c r="F20" s="72" t="str">
        <f t="shared" si="1"/>
        <v>A-302</v>
      </c>
      <c r="G20" s="72" t="str">
        <f t="shared" si="2"/>
        <v>فيصل الاسلامي</v>
      </c>
      <c r="H20" s="72" t="str">
        <f t="shared" si="3"/>
        <v>A-302</v>
      </c>
      <c r="I20" s="74"/>
      <c r="J20" s="75"/>
      <c r="K20" s="76"/>
    </row>
    <row r="21" spans="1:11" ht="25.8" x14ac:dyDescent="0.3">
      <c r="A21" s="70">
        <v>10</v>
      </c>
      <c r="B21" s="71">
        <v>90000</v>
      </c>
      <c r="C21" s="72">
        <v>47603</v>
      </c>
      <c r="D21" s="73">
        <v>92020221102141</v>
      </c>
      <c r="E21" s="72" t="str">
        <f t="shared" si="0"/>
        <v>فيصل الاسلامي</v>
      </c>
      <c r="F21" s="72" t="str">
        <f t="shared" si="1"/>
        <v>A-302</v>
      </c>
      <c r="G21" s="72" t="str">
        <f t="shared" si="2"/>
        <v>فيصل الاسلامي</v>
      </c>
      <c r="H21" s="72" t="str">
        <f t="shared" si="3"/>
        <v>A-302</v>
      </c>
      <c r="I21" s="74"/>
      <c r="J21" s="75"/>
      <c r="K21" s="76"/>
    </row>
    <row r="22" spans="1:11" ht="25.8" x14ac:dyDescent="0.3">
      <c r="A22" s="70">
        <v>11</v>
      </c>
      <c r="B22" s="71">
        <v>247008</v>
      </c>
      <c r="C22" s="72">
        <v>47694</v>
      </c>
      <c r="D22" s="73">
        <v>92020221102128</v>
      </c>
      <c r="E22" s="72" t="str">
        <f t="shared" si="0"/>
        <v>فيصل الاسلامي</v>
      </c>
      <c r="F22" s="72" t="str">
        <f t="shared" si="1"/>
        <v>A-302</v>
      </c>
      <c r="G22" s="72" t="str">
        <f t="shared" si="2"/>
        <v>فيصل الاسلامي</v>
      </c>
      <c r="H22" s="72" t="str">
        <f t="shared" si="3"/>
        <v>A-302</v>
      </c>
      <c r="I22" s="74"/>
      <c r="J22" s="75"/>
      <c r="K22" s="76"/>
    </row>
    <row r="23" spans="1:11" ht="25.8" x14ac:dyDescent="0.3">
      <c r="A23" s="70">
        <v>12</v>
      </c>
      <c r="B23" s="71">
        <v>90000</v>
      </c>
      <c r="C23" s="72">
        <v>47786</v>
      </c>
      <c r="D23" s="73">
        <v>92020221102142</v>
      </c>
      <c r="E23" s="72" t="str">
        <f t="shared" si="0"/>
        <v>فيصل الاسلامي</v>
      </c>
      <c r="F23" s="72" t="str">
        <f t="shared" si="1"/>
        <v>A-302</v>
      </c>
      <c r="G23" s="72" t="str">
        <f t="shared" si="2"/>
        <v>فيصل الاسلامي</v>
      </c>
      <c r="H23" s="72" t="str">
        <f t="shared" si="3"/>
        <v>A-302</v>
      </c>
      <c r="I23" s="74"/>
      <c r="J23" s="75"/>
      <c r="K23" s="76"/>
    </row>
    <row r="24" spans="1:11" ht="25.8" x14ac:dyDescent="0.3">
      <c r="A24" s="70">
        <v>13</v>
      </c>
      <c r="B24" s="71">
        <v>90000</v>
      </c>
      <c r="C24" s="72">
        <v>47878</v>
      </c>
      <c r="D24" s="73">
        <v>92020221102143</v>
      </c>
      <c r="E24" s="72" t="str">
        <f t="shared" si="0"/>
        <v>فيصل الاسلامي</v>
      </c>
      <c r="F24" s="72" t="str">
        <f t="shared" si="1"/>
        <v>A-302</v>
      </c>
      <c r="G24" s="72" t="str">
        <f t="shared" si="2"/>
        <v>فيصل الاسلامي</v>
      </c>
      <c r="H24" s="72" t="str">
        <f t="shared" si="3"/>
        <v>A-302</v>
      </c>
      <c r="I24" s="74"/>
      <c r="J24" s="75"/>
      <c r="K24" s="76"/>
    </row>
    <row r="25" spans="1:11" ht="25.8" x14ac:dyDescent="0.3">
      <c r="A25" s="70">
        <v>14</v>
      </c>
      <c r="B25" s="71">
        <v>90000</v>
      </c>
      <c r="C25" s="72">
        <v>47968</v>
      </c>
      <c r="D25" s="73">
        <v>92020221102144</v>
      </c>
      <c r="E25" s="72" t="str">
        <f t="shared" si="0"/>
        <v>فيصل الاسلامي</v>
      </c>
      <c r="F25" s="72" t="str">
        <f t="shared" si="1"/>
        <v>A-302</v>
      </c>
      <c r="G25" s="72" t="str">
        <f t="shared" si="2"/>
        <v>فيصل الاسلامي</v>
      </c>
      <c r="H25" s="72" t="str">
        <f t="shared" si="3"/>
        <v>A-302</v>
      </c>
      <c r="I25" s="74"/>
      <c r="J25" s="75"/>
      <c r="K25" s="76"/>
    </row>
    <row r="26" spans="1:11" ht="25.8" x14ac:dyDescent="0.3">
      <c r="A26" s="70">
        <v>15</v>
      </c>
      <c r="B26" s="71">
        <v>247008</v>
      </c>
      <c r="C26" s="72">
        <v>48059</v>
      </c>
      <c r="D26" s="73">
        <v>92020221102129</v>
      </c>
      <c r="E26" s="72" t="str">
        <f t="shared" si="0"/>
        <v>فيصل الاسلامي</v>
      </c>
      <c r="F26" s="72" t="str">
        <f t="shared" si="1"/>
        <v>A-302</v>
      </c>
      <c r="G26" s="72" t="str">
        <f t="shared" si="2"/>
        <v>فيصل الاسلامي</v>
      </c>
      <c r="H26" s="72" t="str">
        <f t="shared" si="3"/>
        <v>A-302</v>
      </c>
      <c r="I26" s="74"/>
      <c r="J26" s="75"/>
      <c r="K26" s="76"/>
    </row>
    <row r="27" spans="1:11" ht="25.8" x14ac:dyDescent="0.3">
      <c r="A27" s="70">
        <v>16</v>
      </c>
      <c r="B27" s="71">
        <v>90000</v>
      </c>
      <c r="C27" s="72">
        <v>48151</v>
      </c>
      <c r="D27" s="73">
        <v>92020221102145</v>
      </c>
      <c r="E27" s="72" t="str">
        <f t="shared" si="0"/>
        <v>فيصل الاسلامي</v>
      </c>
      <c r="F27" s="72" t="str">
        <f t="shared" si="1"/>
        <v>A-302</v>
      </c>
      <c r="G27" s="72" t="str">
        <f t="shared" si="2"/>
        <v>فيصل الاسلامي</v>
      </c>
      <c r="H27" s="72" t="str">
        <f t="shared" si="3"/>
        <v>A-302</v>
      </c>
      <c r="I27" s="74"/>
      <c r="J27" s="75"/>
      <c r="K27" s="76"/>
    </row>
    <row r="28" spans="1:11" ht="25.8" x14ac:dyDescent="0.3">
      <c r="A28" s="70">
        <v>17</v>
      </c>
      <c r="B28" s="71">
        <v>90000</v>
      </c>
      <c r="C28" s="72">
        <v>48243</v>
      </c>
      <c r="D28" s="73">
        <v>92020221102146</v>
      </c>
      <c r="E28" s="72" t="str">
        <f t="shared" si="0"/>
        <v>فيصل الاسلامي</v>
      </c>
      <c r="F28" s="72" t="str">
        <f t="shared" si="1"/>
        <v>A-302</v>
      </c>
      <c r="G28" s="72" t="str">
        <f t="shared" si="2"/>
        <v>فيصل الاسلامي</v>
      </c>
      <c r="H28" s="72" t="str">
        <f t="shared" si="3"/>
        <v>A-302</v>
      </c>
      <c r="I28" s="74"/>
      <c r="J28" s="75"/>
      <c r="K28" s="76"/>
    </row>
    <row r="29" spans="1:11" ht="25.8" x14ac:dyDescent="0.3">
      <c r="A29" s="70">
        <v>18</v>
      </c>
      <c r="B29" s="71">
        <v>90000</v>
      </c>
      <c r="C29" s="72">
        <v>48334</v>
      </c>
      <c r="D29" s="73">
        <v>92020221102147</v>
      </c>
      <c r="E29" s="72" t="str">
        <f t="shared" si="0"/>
        <v>فيصل الاسلامي</v>
      </c>
      <c r="F29" s="72" t="str">
        <f t="shared" si="1"/>
        <v>A-302</v>
      </c>
      <c r="G29" s="72" t="str">
        <f t="shared" si="2"/>
        <v>فيصل الاسلامي</v>
      </c>
      <c r="H29" s="72" t="str">
        <f t="shared" si="3"/>
        <v>A-302</v>
      </c>
      <c r="I29" s="74"/>
      <c r="J29" s="75"/>
      <c r="K29" s="76"/>
    </row>
    <row r="30" spans="1:11" ht="25.8" x14ac:dyDescent="0.3">
      <c r="A30" s="70">
        <v>19</v>
      </c>
      <c r="B30" s="71">
        <v>247008</v>
      </c>
      <c r="C30" s="72">
        <v>48425</v>
      </c>
      <c r="D30" s="73">
        <v>92020221102130</v>
      </c>
      <c r="E30" s="72" t="str">
        <f t="shared" si="0"/>
        <v>فيصل الاسلامي</v>
      </c>
      <c r="F30" s="72" t="str">
        <f t="shared" si="1"/>
        <v>A-302</v>
      </c>
      <c r="G30" s="72" t="str">
        <f t="shared" si="2"/>
        <v>فيصل الاسلامي</v>
      </c>
      <c r="H30" s="72" t="str">
        <f t="shared" si="3"/>
        <v>A-302</v>
      </c>
      <c r="I30" s="74"/>
      <c r="J30" s="75"/>
      <c r="K30" s="76"/>
    </row>
    <row r="31" spans="1:11" ht="25.8" x14ac:dyDescent="0.3">
      <c r="A31" s="70">
        <v>20</v>
      </c>
      <c r="B31" s="71">
        <v>90000</v>
      </c>
      <c r="C31" s="72">
        <v>48517</v>
      </c>
      <c r="D31" s="73">
        <v>92020221102148</v>
      </c>
      <c r="E31" s="72" t="str">
        <f t="shared" si="0"/>
        <v>فيصل الاسلامي</v>
      </c>
      <c r="F31" s="72" t="str">
        <f t="shared" si="1"/>
        <v>A-302</v>
      </c>
      <c r="G31" s="72" t="str">
        <f t="shared" si="2"/>
        <v>فيصل الاسلامي</v>
      </c>
      <c r="H31" s="72" t="str">
        <f t="shared" si="3"/>
        <v>A-302</v>
      </c>
      <c r="I31" s="74"/>
      <c r="J31" s="75"/>
      <c r="K31" s="76"/>
    </row>
    <row r="32" spans="1:11" ht="25.8" x14ac:dyDescent="0.3">
      <c r="A32" s="70">
        <v>21</v>
      </c>
      <c r="B32" s="71">
        <v>90000</v>
      </c>
      <c r="C32" s="72">
        <v>48609</v>
      </c>
      <c r="D32" s="73">
        <v>92020221102149</v>
      </c>
      <c r="E32" s="72" t="str">
        <f t="shared" si="0"/>
        <v>فيصل الاسلامي</v>
      </c>
      <c r="F32" s="72" t="str">
        <f t="shared" si="1"/>
        <v>A-302</v>
      </c>
      <c r="G32" s="72" t="str">
        <f t="shared" si="2"/>
        <v>فيصل الاسلامي</v>
      </c>
      <c r="H32" s="72" t="str">
        <f t="shared" si="3"/>
        <v>A-302</v>
      </c>
      <c r="I32" s="74"/>
      <c r="J32" s="75"/>
      <c r="K32" s="76"/>
    </row>
    <row r="33" spans="1:11" ht="25.8" x14ac:dyDescent="0.3">
      <c r="A33" s="70">
        <v>22</v>
      </c>
      <c r="B33" s="71">
        <v>90000</v>
      </c>
      <c r="C33" s="72">
        <v>48699</v>
      </c>
      <c r="D33" s="73">
        <v>92020221102150</v>
      </c>
      <c r="E33" s="72" t="str">
        <f t="shared" si="0"/>
        <v>فيصل الاسلامي</v>
      </c>
      <c r="F33" s="72" t="str">
        <f t="shared" si="1"/>
        <v>A-302</v>
      </c>
      <c r="G33" s="72" t="str">
        <f t="shared" si="2"/>
        <v>فيصل الاسلامي</v>
      </c>
      <c r="H33" s="72" t="str">
        <f t="shared" si="3"/>
        <v>A-302</v>
      </c>
      <c r="I33" s="74"/>
      <c r="J33" s="75"/>
      <c r="K33" s="76"/>
    </row>
    <row r="34" spans="1:11" ht="25.8" x14ac:dyDescent="0.3">
      <c r="A34" s="70">
        <v>23</v>
      </c>
      <c r="B34" s="71">
        <v>247008</v>
      </c>
      <c r="C34" s="72">
        <v>48790</v>
      </c>
      <c r="D34" s="73">
        <v>92020221102131</v>
      </c>
      <c r="E34" s="72" t="str">
        <f t="shared" si="0"/>
        <v>فيصل الاسلامي</v>
      </c>
      <c r="F34" s="72" t="str">
        <f t="shared" si="1"/>
        <v>A-302</v>
      </c>
      <c r="G34" s="72" t="str">
        <f t="shared" si="2"/>
        <v>فيصل الاسلامي</v>
      </c>
      <c r="H34" s="72" t="str">
        <f t="shared" si="3"/>
        <v>A-302</v>
      </c>
      <c r="I34" s="74"/>
      <c r="J34" s="75"/>
      <c r="K34" s="76"/>
    </row>
    <row r="35" spans="1:11" ht="25.8" x14ac:dyDescent="0.3">
      <c r="A35" s="70">
        <v>24</v>
      </c>
      <c r="B35" s="71">
        <v>90000</v>
      </c>
      <c r="C35" s="72">
        <v>48882</v>
      </c>
      <c r="D35" s="73">
        <v>92020221102151</v>
      </c>
      <c r="E35" s="72" t="str">
        <f t="shared" si="0"/>
        <v>فيصل الاسلامي</v>
      </c>
      <c r="F35" s="72" t="str">
        <f t="shared" si="1"/>
        <v>A-302</v>
      </c>
      <c r="G35" s="72" t="str">
        <f t="shared" si="2"/>
        <v>فيصل الاسلامي</v>
      </c>
      <c r="H35" s="72" t="str">
        <f t="shared" si="3"/>
        <v>A-302</v>
      </c>
      <c r="I35" s="74"/>
      <c r="J35" s="75"/>
      <c r="K35" s="76"/>
    </row>
    <row r="36" spans="1:11" ht="25.8" x14ac:dyDescent="0.3">
      <c r="A36" s="70">
        <v>25</v>
      </c>
      <c r="B36" s="71">
        <v>90000</v>
      </c>
      <c r="C36" s="72">
        <v>48974</v>
      </c>
      <c r="D36" s="73">
        <v>92020221102152</v>
      </c>
      <c r="E36" s="72" t="str">
        <f t="shared" si="0"/>
        <v>فيصل الاسلامي</v>
      </c>
      <c r="F36" s="72" t="str">
        <f t="shared" si="1"/>
        <v>A-302</v>
      </c>
      <c r="G36" s="72" t="str">
        <f t="shared" si="2"/>
        <v>فيصل الاسلامي</v>
      </c>
      <c r="H36" s="72" t="str">
        <f t="shared" si="3"/>
        <v>A-302</v>
      </c>
      <c r="I36" s="74"/>
      <c r="J36" s="75"/>
      <c r="K36" s="76"/>
    </row>
    <row r="37" spans="1:11" ht="25.8" x14ac:dyDescent="0.3">
      <c r="A37" s="70">
        <v>26</v>
      </c>
      <c r="B37" s="71">
        <v>90000</v>
      </c>
      <c r="C37" s="72">
        <v>49064</v>
      </c>
      <c r="D37" s="73">
        <v>92020221102153</v>
      </c>
      <c r="E37" s="72" t="str">
        <f t="shared" si="0"/>
        <v>فيصل الاسلامي</v>
      </c>
      <c r="F37" s="72" t="str">
        <f t="shared" si="1"/>
        <v>A-302</v>
      </c>
      <c r="G37" s="72" t="str">
        <f t="shared" si="2"/>
        <v>فيصل الاسلامي</v>
      </c>
      <c r="H37" s="72" t="str">
        <f t="shared" si="3"/>
        <v>A-302</v>
      </c>
      <c r="I37" s="74"/>
      <c r="J37" s="75"/>
      <c r="K37" s="76"/>
    </row>
    <row r="38" spans="1:11" ht="25.8" x14ac:dyDescent="0.3">
      <c r="A38" s="70">
        <v>27</v>
      </c>
      <c r="B38" s="71">
        <v>247008</v>
      </c>
      <c r="C38" s="72">
        <v>49155</v>
      </c>
      <c r="D38" s="73">
        <v>92020221102132</v>
      </c>
      <c r="E38" s="72" t="str">
        <f t="shared" si="0"/>
        <v>فيصل الاسلامي</v>
      </c>
      <c r="F38" s="72" t="str">
        <f t="shared" si="1"/>
        <v>A-302</v>
      </c>
      <c r="G38" s="72" t="str">
        <f t="shared" si="2"/>
        <v>فيصل الاسلامي</v>
      </c>
      <c r="H38" s="72" t="str">
        <f t="shared" si="3"/>
        <v>A-302</v>
      </c>
      <c r="I38" s="74"/>
      <c r="J38" s="75"/>
      <c r="K38" s="76"/>
    </row>
    <row r="39" spans="1:11" ht="25.8" x14ac:dyDescent="0.3">
      <c r="A39" s="70">
        <v>28</v>
      </c>
      <c r="B39" s="71">
        <v>90000</v>
      </c>
      <c r="C39" s="72">
        <v>49247</v>
      </c>
      <c r="D39" s="73">
        <v>92020221102154</v>
      </c>
      <c r="E39" s="72" t="str">
        <f t="shared" si="0"/>
        <v>فيصل الاسلامي</v>
      </c>
      <c r="F39" s="72" t="str">
        <f t="shared" si="1"/>
        <v>A-302</v>
      </c>
      <c r="G39" s="72" t="str">
        <f t="shared" si="2"/>
        <v>فيصل الاسلامي</v>
      </c>
      <c r="H39" s="72" t="str">
        <f t="shared" si="3"/>
        <v>A-302</v>
      </c>
      <c r="I39" s="74"/>
      <c r="J39" s="75"/>
      <c r="K39" s="76"/>
    </row>
    <row r="40" spans="1:11" ht="25.8" x14ac:dyDescent="0.3">
      <c r="A40" s="70">
        <v>29</v>
      </c>
      <c r="B40" s="71">
        <v>90000</v>
      </c>
      <c r="C40" s="72">
        <v>49339</v>
      </c>
      <c r="D40" s="73">
        <v>92020221102155</v>
      </c>
      <c r="E40" s="72" t="str">
        <f t="shared" si="0"/>
        <v>فيصل الاسلامي</v>
      </c>
      <c r="F40" s="72" t="str">
        <f t="shared" si="1"/>
        <v>A-302</v>
      </c>
      <c r="G40" s="72" t="str">
        <f t="shared" si="2"/>
        <v>فيصل الاسلامي</v>
      </c>
      <c r="H40" s="72" t="str">
        <f t="shared" si="3"/>
        <v>A-302</v>
      </c>
      <c r="I40" s="74"/>
      <c r="J40" s="75"/>
      <c r="K40" s="76"/>
    </row>
    <row r="41" spans="1:11" ht="25.8" x14ac:dyDescent="0.3">
      <c r="A41" s="70">
        <v>30</v>
      </c>
      <c r="B41" s="71">
        <v>90000</v>
      </c>
      <c r="C41" s="72">
        <v>49429</v>
      </c>
      <c r="D41" s="73">
        <v>92020221102156</v>
      </c>
      <c r="E41" s="72" t="str">
        <f t="shared" si="0"/>
        <v>فيصل الاسلامي</v>
      </c>
      <c r="F41" s="72" t="str">
        <f t="shared" si="1"/>
        <v>A-302</v>
      </c>
      <c r="G41" s="72" t="str">
        <f t="shared" si="2"/>
        <v>فيصل الاسلامي</v>
      </c>
      <c r="H41" s="72" t="str">
        <f t="shared" si="3"/>
        <v>A-302</v>
      </c>
      <c r="I41" s="74"/>
      <c r="J41" s="75"/>
      <c r="K41" s="76"/>
    </row>
    <row r="42" spans="1:11" ht="25.8" x14ac:dyDescent="0.3">
      <c r="A42" s="70">
        <v>31</v>
      </c>
      <c r="B42" s="71">
        <v>247008</v>
      </c>
      <c r="C42" s="72">
        <v>49520</v>
      </c>
      <c r="D42" s="73">
        <v>92020221102133</v>
      </c>
      <c r="E42" s="72" t="str">
        <f t="shared" si="0"/>
        <v>فيصل الاسلامي</v>
      </c>
      <c r="F42" s="72" t="str">
        <f t="shared" si="1"/>
        <v>A-302</v>
      </c>
      <c r="G42" s="72" t="str">
        <f t="shared" si="2"/>
        <v>فيصل الاسلامي</v>
      </c>
      <c r="H42" s="72" t="str">
        <f t="shared" si="3"/>
        <v>A-302</v>
      </c>
      <c r="I42" s="74"/>
      <c r="J42" s="75"/>
      <c r="K42" s="76"/>
    </row>
    <row r="43" spans="1:11" ht="25.8" x14ac:dyDescent="0.3">
      <c r="A43" s="70">
        <v>32</v>
      </c>
      <c r="B43" s="71">
        <v>90000</v>
      </c>
      <c r="C43" s="72">
        <v>49612</v>
      </c>
      <c r="D43" s="73">
        <v>92020221102157</v>
      </c>
      <c r="E43" s="72" t="str">
        <f t="shared" si="0"/>
        <v>فيصل الاسلامي</v>
      </c>
      <c r="F43" s="72" t="str">
        <f t="shared" si="1"/>
        <v>A-302</v>
      </c>
      <c r="G43" s="72" t="str">
        <f t="shared" si="2"/>
        <v>فيصل الاسلامي</v>
      </c>
      <c r="H43" s="72" t="str">
        <f t="shared" si="3"/>
        <v>A-302</v>
      </c>
      <c r="I43" s="74"/>
      <c r="J43" s="75"/>
      <c r="K43" s="76"/>
    </row>
    <row r="44" spans="1:11" ht="25.8" x14ac:dyDescent="0.3">
      <c r="A44" s="70">
        <v>33</v>
      </c>
      <c r="B44" s="71">
        <v>90000</v>
      </c>
      <c r="C44" s="72">
        <v>49704</v>
      </c>
      <c r="D44" s="73">
        <v>92020221102158</v>
      </c>
      <c r="E44" s="72" t="str">
        <f t="shared" si="0"/>
        <v>فيصل الاسلامي</v>
      </c>
      <c r="F44" s="72" t="str">
        <f t="shared" si="1"/>
        <v>A-302</v>
      </c>
      <c r="G44" s="72" t="str">
        <f t="shared" si="2"/>
        <v>فيصل الاسلامي</v>
      </c>
      <c r="H44" s="72" t="str">
        <f t="shared" si="3"/>
        <v>A-302</v>
      </c>
      <c r="I44" s="74"/>
      <c r="J44" s="75"/>
      <c r="K44" s="76"/>
    </row>
    <row r="45" spans="1:11" ht="25.8" x14ac:dyDescent="0.3">
      <c r="A45" s="70">
        <v>34</v>
      </c>
      <c r="B45" s="71">
        <v>90000</v>
      </c>
      <c r="C45" s="72">
        <v>49795</v>
      </c>
      <c r="D45" s="73">
        <v>92020221102159</v>
      </c>
      <c r="E45" s="72" t="str">
        <f t="shared" si="0"/>
        <v>فيصل الاسلامي</v>
      </c>
      <c r="F45" s="72" t="str">
        <f t="shared" si="1"/>
        <v>A-302</v>
      </c>
      <c r="G45" s="72" t="str">
        <f t="shared" si="2"/>
        <v>فيصل الاسلامي</v>
      </c>
      <c r="H45" s="72" t="str">
        <f t="shared" si="3"/>
        <v>A-302</v>
      </c>
      <c r="I45" s="74"/>
      <c r="J45" s="75"/>
      <c r="K45" s="76"/>
    </row>
    <row r="46" spans="1:11" ht="25.8" x14ac:dyDescent="0.3">
      <c r="A46" s="70">
        <v>35</v>
      </c>
      <c r="B46" s="71">
        <v>247008</v>
      </c>
      <c r="C46" s="72">
        <v>49886</v>
      </c>
      <c r="D46" s="73">
        <v>92020221102134</v>
      </c>
      <c r="E46" s="72" t="str">
        <f t="shared" si="0"/>
        <v>فيصل الاسلامي</v>
      </c>
      <c r="F46" s="72" t="str">
        <f t="shared" si="1"/>
        <v>A-302</v>
      </c>
      <c r="G46" s="72" t="str">
        <f t="shared" si="2"/>
        <v>فيصل الاسلامي</v>
      </c>
      <c r="H46" s="72" t="str">
        <f t="shared" si="3"/>
        <v>A-302</v>
      </c>
      <c r="I46" s="74"/>
      <c r="J46" s="75"/>
      <c r="K46" s="76"/>
    </row>
    <row r="47" spans="1:11" ht="25.8" x14ac:dyDescent="0.3">
      <c r="A47" s="45"/>
      <c r="B47" s="46"/>
      <c r="C47" s="46"/>
      <c r="D47" s="47"/>
      <c r="E47" s="48"/>
      <c r="F47" s="73"/>
      <c r="G47" s="45"/>
      <c r="H47" s="2"/>
      <c r="I47" s="46"/>
      <c r="J47" s="2"/>
      <c r="K47" s="2"/>
    </row>
    <row r="48" spans="1:11" ht="29.4" thickBot="1" x14ac:dyDescent="0.35">
      <c r="A48" s="50"/>
      <c r="B48" s="84">
        <f>SUM(B12:B47)</f>
        <v>4720077</v>
      </c>
      <c r="C48" s="84"/>
      <c r="D48" s="51"/>
      <c r="E48" s="52"/>
      <c r="F48" s="77"/>
      <c r="G48" s="54"/>
      <c r="H48" s="55"/>
      <c r="I48" s="56"/>
      <c r="J48" s="55"/>
      <c r="K48" s="55"/>
    </row>
    <row r="49" spans="1:11" ht="21.6" thickTop="1" x14ac:dyDescent="0.4">
      <c r="A49" s="16"/>
      <c r="D49" s="47"/>
      <c r="E49" s="57"/>
      <c r="F49" s="49"/>
      <c r="I49" s="16"/>
    </row>
    <row r="50" spans="1:11" ht="62.55" customHeight="1" x14ac:dyDescent="0.55000000000000004">
      <c r="A50" s="85" t="s">
        <v>45</v>
      </c>
      <c r="B50" s="85"/>
      <c r="C50" s="85"/>
      <c r="D50" s="85"/>
      <c r="E50" s="85"/>
      <c r="F50" s="85"/>
      <c r="G50" s="59"/>
      <c r="H50" s="59"/>
      <c r="I50" s="58"/>
      <c r="J50" s="59"/>
      <c r="K50" s="59"/>
    </row>
    <row r="51" spans="1:11" ht="55.95" customHeight="1" x14ac:dyDescent="0.3">
      <c r="A51" s="85" t="s">
        <v>46</v>
      </c>
      <c r="B51" s="85"/>
      <c r="C51" s="85"/>
      <c r="D51" s="85"/>
      <c r="E51" s="85"/>
      <c r="F51" s="85"/>
    </row>
  </sheetData>
  <mergeCells count="8">
    <mergeCell ref="A50:F50"/>
    <mergeCell ref="A51:F51"/>
    <mergeCell ref="B48:C48"/>
    <mergeCell ref="A1:I1"/>
    <mergeCell ref="J1:K1"/>
    <mergeCell ref="B3:C3"/>
    <mergeCell ref="D3:E3"/>
    <mergeCell ref="J3:K3"/>
  </mergeCells>
  <pageMargins left="0.7" right="0.7" top="0.75" bottom="0.75" header="0.3" footer="0.3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B280-58A8-4777-9223-94F9B013F6F7}">
  <dimension ref="A1:K51"/>
  <sheetViews>
    <sheetView rightToLeft="1" view="pageBreakPreview" topLeftCell="A32" zoomScale="60" zoomScaleNormal="70" workbookViewId="0">
      <selection activeCell="B49" sqref="B49"/>
    </sheetView>
  </sheetViews>
  <sheetFormatPr defaultRowHeight="14.4" x14ac:dyDescent="0.3"/>
  <cols>
    <col min="1" max="1" width="18.21875" customWidth="1"/>
    <col min="2" max="2" width="24.77734375" customWidth="1"/>
    <col min="3" max="3" width="20.109375" bestFit="1" customWidth="1"/>
    <col min="4" max="4" width="14.33203125" bestFit="1" customWidth="1"/>
    <col min="5" max="5" width="19" bestFit="1" customWidth="1"/>
    <col min="6" max="6" width="13" bestFit="1" customWidth="1"/>
    <col min="7" max="11" width="0" hidden="1" customWidth="1"/>
  </cols>
  <sheetData>
    <row r="1" spans="1:11" ht="37.200000000000003" thickBot="1" x14ac:dyDescent="0.35">
      <c r="A1" s="86" t="s">
        <v>39</v>
      </c>
      <c r="B1" s="86"/>
      <c r="C1" s="86"/>
      <c r="D1" s="86"/>
      <c r="E1" s="86"/>
      <c r="F1" s="86"/>
      <c r="G1" s="86"/>
      <c r="H1" s="86"/>
      <c r="I1" s="86"/>
      <c r="J1" s="87"/>
      <c r="K1" s="88"/>
    </row>
    <row r="2" spans="1:11" ht="21.6" thickTop="1" x14ac:dyDescent="0.4">
      <c r="A2" s="1"/>
      <c r="B2" s="2"/>
      <c r="C2" s="2"/>
      <c r="D2" s="3"/>
      <c r="E2" s="4"/>
      <c r="F2" s="5"/>
      <c r="G2" s="2"/>
      <c r="H2" s="2"/>
      <c r="I2" s="1"/>
      <c r="J2" s="2"/>
      <c r="K2" s="2"/>
    </row>
    <row r="3" spans="1:11" ht="34.200000000000003" thickBot="1" x14ac:dyDescent="0.35">
      <c r="A3" s="6" t="s">
        <v>9</v>
      </c>
      <c r="B3" s="89">
        <v>46307</v>
      </c>
      <c r="C3" s="89"/>
      <c r="D3" s="90" t="s">
        <v>10</v>
      </c>
      <c r="E3" s="91"/>
      <c r="F3" s="7" t="str">
        <f>G9</f>
        <v>A-104</v>
      </c>
      <c r="G3" s="8"/>
      <c r="H3" s="9"/>
      <c r="I3" s="10"/>
      <c r="J3" s="92">
        <f>B48</f>
        <v>3465000</v>
      </c>
      <c r="K3" s="92"/>
    </row>
    <row r="4" spans="1:11" ht="21.6" thickTop="1" x14ac:dyDescent="0.4">
      <c r="A4" s="1"/>
      <c r="B4" s="2"/>
      <c r="C4" s="2"/>
      <c r="D4" s="3"/>
      <c r="E4" s="4"/>
      <c r="F4" s="5"/>
      <c r="G4" s="2"/>
      <c r="H4" s="2"/>
      <c r="I4" s="1"/>
      <c r="J4" s="2"/>
      <c r="K4" s="2"/>
    </row>
    <row r="5" spans="1:11" ht="54" x14ac:dyDescent="0.4">
      <c r="A5" s="20" t="s">
        <v>11</v>
      </c>
      <c r="B5" s="12" t="s">
        <v>38</v>
      </c>
      <c r="C5" s="13"/>
      <c r="D5" s="14"/>
      <c r="E5" s="15"/>
      <c r="F5" s="5"/>
      <c r="G5" s="2"/>
      <c r="I5" s="16"/>
      <c r="J5" s="2"/>
      <c r="K5" s="2"/>
    </row>
    <row r="6" spans="1:11" ht="54" x14ac:dyDescent="0.4">
      <c r="A6" s="20" t="s">
        <v>40</v>
      </c>
      <c r="B6" s="12" t="s">
        <v>41</v>
      </c>
      <c r="C6" s="13"/>
      <c r="D6" s="14"/>
      <c r="E6" s="15"/>
      <c r="F6" s="5"/>
      <c r="G6" s="2"/>
      <c r="H6" s="2"/>
      <c r="I6" s="1"/>
      <c r="J6" s="2"/>
      <c r="K6" s="2"/>
    </row>
    <row r="7" spans="1:11" ht="25.8" x14ac:dyDescent="0.3">
      <c r="A7" s="20" t="s">
        <v>12</v>
      </c>
      <c r="B7" s="20" t="s">
        <v>34</v>
      </c>
      <c r="C7" s="18"/>
      <c r="D7" s="21"/>
      <c r="E7" s="22"/>
      <c r="F7" s="17"/>
      <c r="G7" s="18"/>
      <c r="H7" s="18"/>
      <c r="I7" s="19"/>
      <c r="J7" s="18"/>
      <c r="K7" s="18"/>
    </row>
    <row r="8" spans="1:11" ht="31.8" thickBot="1" x14ac:dyDescent="0.35">
      <c r="A8" s="20"/>
      <c r="B8" s="23" t="s">
        <v>57</v>
      </c>
      <c r="C8" s="18"/>
      <c r="D8" s="21"/>
      <c r="E8" s="24"/>
      <c r="F8" s="25"/>
      <c r="G8" s="26"/>
      <c r="H8" s="27" t="s">
        <v>15</v>
      </c>
      <c r="I8" s="28"/>
      <c r="J8" s="29" t="s">
        <v>35</v>
      </c>
      <c r="K8" s="18"/>
    </row>
    <row r="9" spans="1:11" ht="34.799999999999997" thickTop="1" thickBot="1" x14ac:dyDescent="0.35">
      <c r="A9" s="20" t="s">
        <v>17</v>
      </c>
      <c r="B9" s="20" t="s">
        <v>62</v>
      </c>
      <c r="C9" s="18"/>
      <c r="D9" s="21"/>
      <c r="E9" s="22"/>
      <c r="F9" s="17"/>
      <c r="G9" s="30" t="s">
        <v>36</v>
      </c>
      <c r="H9" s="31" t="s">
        <v>19</v>
      </c>
      <c r="I9" s="26"/>
      <c r="J9" s="18"/>
      <c r="K9" s="18"/>
    </row>
    <row r="10" spans="1:11" ht="27" thickTop="1" thickBot="1" x14ac:dyDescent="0.35">
      <c r="A10" s="20" t="s">
        <v>55</v>
      </c>
      <c r="B10" s="20" t="s">
        <v>3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21.6" thickTop="1" x14ac:dyDescent="0.3">
      <c r="A11" s="60" t="s">
        <v>42</v>
      </c>
      <c r="B11" s="60" t="s">
        <v>20</v>
      </c>
      <c r="C11" s="61" t="s">
        <v>9</v>
      </c>
      <c r="D11" s="62" t="s">
        <v>21</v>
      </c>
      <c r="E11" s="63" t="s">
        <v>22</v>
      </c>
      <c r="F11" s="64" t="s">
        <v>43</v>
      </c>
      <c r="G11" s="63" t="s">
        <v>22</v>
      </c>
      <c r="H11" s="65" t="s">
        <v>23</v>
      </c>
      <c r="I11" s="66" t="s">
        <v>24</v>
      </c>
      <c r="J11" s="67"/>
      <c r="K11" s="68"/>
    </row>
    <row r="12" spans="1:11" ht="25.8" x14ac:dyDescent="0.3">
      <c r="A12" s="70">
        <v>1</v>
      </c>
      <c r="B12" s="71">
        <v>99000</v>
      </c>
      <c r="C12" s="72">
        <v>46588</v>
      </c>
      <c r="D12" s="73">
        <v>183456</v>
      </c>
      <c r="E12" s="72" t="str">
        <f t="shared" ref="E12:E46" si="0">$J$8</f>
        <v>HSBC</v>
      </c>
      <c r="F12" s="72" t="str">
        <f t="shared" ref="F12:F46" si="1">$G$9</f>
        <v>A-104</v>
      </c>
      <c r="G12" s="72" t="str">
        <f t="shared" ref="G12:G46" si="2">$J$8</f>
        <v>HSBC</v>
      </c>
      <c r="H12" s="72" t="str">
        <f t="shared" ref="H12:H46" si="3">$G$9</f>
        <v>A-104</v>
      </c>
      <c r="I12" s="74"/>
      <c r="J12" s="75"/>
      <c r="K12" s="76"/>
    </row>
    <row r="13" spans="1:11" ht="25.8" x14ac:dyDescent="0.3">
      <c r="A13" s="70">
        <v>2</v>
      </c>
      <c r="B13" s="71">
        <v>99000</v>
      </c>
      <c r="C13" s="72">
        <v>46680</v>
      </c>
      <c r="D13" s="73">
        <v>183457</v>
      </c>
      <c r="E13" s="72" t="str">
        <f t="shared" si="0"/>
        <v>HSBC</v>
      </c>
      <c r="F13" s="72" t="str">
        <f t="shared" si="1"/>
        <v>A-104</v>
      </c>
      <c r="G13" s="72" t="str">
        <f t="shared" si="2"/>
        <v>HSBC</v>
      </c>
      <c r="H13" s="72" t="str">
        <f t="shared" si="3"/>
        <v>A-104</v>
      </c>
      <c r="I13" s="74"/>
      <c r="J13" s="75"/>
      <c r="K13" s="76"/>
    </row>
    <row r="14" spans="1:11" ht="25.8" x14ac:dyDescent="0.3">
      <c r="A14" s="70">
        <v>3</v>
      </c>
      <c r="B14" s="71">
        <v>99000</v>
      </c>
      <c r="C14" s="72">
        <v>46954</v>
      </c>
      <c r="D14" s="73">
        <v>183460</v>
      </c>
      <c r="E14" s="72" t="str">
        <f t="shared" si="0"/>
        <v>HSBC</v>
      </c>
      <c r="F14" s="72" t="str">
        <f t="shared" si="1"/>
        <v>A-104</v>
      </c>
      <c r="G14" s="72" t="str">
        <f t="shared" si="2"/>
        <v>HSBC</v>
      </c>
      <c r="H14" s="72" t="str">
        <f t="shared" si="3"/>
        <v>A-104</v>
      </c>
      <c r="I14" s="74"/>
      <c r="J14" s="75"/>
      <c r="K14" s="76"/>
    </row>
    <row r="15" spans="1:11" ht="25.8" x14ac:dyDescent="0.3">
      <c r="A15" s="70">
        <v>4</v>
      </c>
      <c r="B15" s="71">
        <v>99000</v>
      </c>
      <c r="C15" s="72">
        <v>47046</v>
      </c>
      <c r="D15" s="73">
        <v>183461</v>
      </c>
      <c r="E15" s="72" t="str">
        <f t="shared" si="0"/>
        <v>HSBC</v>
      </c>
      <c r="F15" s="72" t="str">
        <f t="shared" si="1"/>
        <v>A-104</v>
      </c>
      <c r="G15" s="72" t="str">
        <f t="shared" si="2"/>
        <v>HSBC</v>
      </c>
      <c r="H15" s="72" t="str">
        <f t="shared" si="3"/>
        <v>A-104</v>
      </c>
      <c r="I15" s="74"/>
      <c r="J15" s="75"/>
      <c r="K15" s="76"/>
    </row>
    <row r="16" spans="1:11" ht="25.8" x14ac:dyDescent="0.3">
      <c r="A16" s="70">
        <v>5</v>
      </c>
      <c r="B16" s="71">
        <v>99000</v>
      </c>
      <c r="C16" s="72">
        <v>47138</v>
      </c>
      <c r="D16" s="73">
        <v>183462</v>
      </c>
      <c r="E16" s="72" t="str">
        <f t="shared" si="0"/>
        <v>HSBC</v>
      </c>
      <c r="F16" s="72" t="str">
        <f t="shared" si="1"/>
        <v>A-104</v>
      </c>
      <c r="G16" s="72" t="str">
        <f t="shared" si="2"/>
        <v>HSBC</v>
      </c>
      <c r="H16" s="72" t="str">
        <f t="shared" si="3"/>
        <v>A-104</v>
      </c>
      <c r="I16" s="74"/>
      <c r="J16" s="75"/>
      <c r="K16" s="76"/>
    </row>
    <row r="17" spans="1:11" ht="25.8" x14ac:dyDescent="0.3">
      <c r="A17" s="70">
        <v>6</v>
      </c>
      <c r="B17" s="71">
        <v>99000</v>
      </c>
      <c r="C17" s="72">
        <v>47228</v>
      </c>
      <c r="D17" s="73">
        <v>183463</v>
      </c>
      <c r="E17" s="72" t="str">
        <f t="shared" si="0"/>
        <v>HSBC</v>
      </c>
      <c r="F17" s="72" t="str">
        <f t="shared" si="1"/>
        <v>A-104</v>
      </c>
      <c r="G17" s="72" t="str">
        <f t="shared" si="2"/>
        <v>HSBC</v>
      </c>
      <c r="H17" s="72" t="str">
        <f t="shared" si="3"/>
        <v>A-104</v>
      </c>
      <c r="I17" s="74"/>
      <c r="J17" s="75"/>
      <c r="K17" s="76"/>
    </row>
    <row r="18" spans="1:11" ht="25.8" x14ac:dyDescent="0.3">
      <c r="A18" s="70">
        <v>7</v>
      </c>
      <c r="B18" s="71">
        <v>99000</v>
      </c>
      <c r="C18" s="72">
        <v>47319</v>
      </c>
      <c r="D18" s="73">
        <v>183464</v>
      </c>
      <c r="E18" s="72" t="str">
        <f t="shared" si="0"/>
        <v>HSBC</v>
      </c>
      <c r="F18" s="72" t="str">
        <f t="shared" si="1"/>
        <v>A-104</v>
      </c>
      <c r="G18" s="72" t="str">
        <f t="shared" si="2"/>
        <v>HSBC</v>
      </c>
      <c r="H18" s="72" t="str">
        <f t="shared" si="3"/>
        <v>A-104</v>
      </c>
      <c r="I18" s="74"/>
      <c r="J18" s="75"/>
      <c r="K18" s="76"/>
    </row>
    <row r="19" spans="1:11" ht="25.8" x14ac:dyDescent="0.3">
      <c r="A19" s="70">
        <v>8</v>
      </c>
      <c r="B19" s="71">
        <v>99000</v>
      </c>
      <c r="C19" s="72">
        <v>47411</v>
      </c>
      <c r="D19" s="73">
        <v>183465</v>
      </c>
      <c r="E19" s="72" t="str">
        <f t="shared" si="0"/>
        <v>HSBC</v>
      </c>
      <c r="F19" s="72" t="str">
        <f t="shared" si="1"/>
        <v>A-104</v>
      </c>
      <c r="G19" s="72" t="str">
        <f t="shared" si="2"/>
        <v>HSBC</v>
      </c>
      <c r="H19" s="72" t="str">
        <f t="shared" si="3"/>
        <v>A-104</v>
      </c>
      <c r="I19" s="74"/>
      <c r="J19" s="75"/>
      <c r="K19" s="76"/>
    </row>
    <row r="20" spans="1:11" ht="25.8" x14ac:dyDescent="0.3">
      <c r="A20" s="70">
        <v>9</v>
      </c>
      <c r="B20" s="71">
        <v>99000</v>
      </c>
      <c r="C20" s="72">
        <v>47503</v>
      </c>
      <c r="D20" s="73">
        <v>183466</v>
      </c>
      <c r="E20" s="72" t="str">
        <f t="shared" si="0"/>
        <v>HSBC</v>
      </c>
      <c r="F20" s="72" t="str">
        <f t="shared" si="1"/>
        <v>A-104</v>
      </c>
      <c r="G20" s="72" t="str">
        <f t="shared" si="2"/>
        <v>HSBC</v>
      </c>
      <c r="H20" s="72" t="str">
        <f t="shared" si="3"/>
        <v>A-104</v>
      </c>
      <c r="I20" s="74"/>
      <c r="J20" s="75"/>
      <c r="K20" s="76"/>
    </row>
    <row r="21" spans="1:11" ht="25.8" x14ac:dyDescent="0.3">
      <c r="A21" s="70">
        <v>10</v>
      </c>
      <c r="B21" s="71">
        <v>99000</v>
      </c>
      <c r="C21" s="72">
        <v>47593</v>
      </c>
      <c r="D21" s="73">
        <v>183467</v>
      </c>
      <c r="E21" s="72" t="str">
        <f t="shared" si="0"/>
        <v>HSBC</v>
      </c>
      <c r="F21" s="72" t="str">
        <f t="shared" si="1"/>
        <v>A-104</v>
      </c>
      <c r="G21" s="72" t="str">
        <f t="shared" si="2"/>
        <v>HSBC</v>
      </c>
      <c r="H21" s="72" t="str">
        <f t="shared" si="3"/>
        <v>A-104</v>
      </c>
      <c r="I21" s="74"/>
      <c r="J21" s="75"/>
      <c r="K21" s="76"/>
    </row>
    <row r="22" spans="1:11" ht="25.8" x14ac:dyDescent="0.3">
      <c r="A22" s="70">
        <v>11</v>
      </c>
      <c r="B22" s="71">
        <v>99000</v>
      </c>
      <c r="C22" s="72">
        <v>47684</v>
      </c>
      <c r="D22" s="73">
        <v>183468</v>
      </c>
      <c r="E22" s="72" t="str">
        <f t="shared" si="0"/>
        <v>HSBC</v>
      </c>
      <c r="F22" s="72" t="str">
        <f t="shared" si="1"/>
        <v>A-104</v>
      </c>
      <c r="G22" s="72" t="str">
        <f t="shared" si="2"/>
        <v>HSBC</v>
      </c>
      <c r="H22" s="72" t="str">
        <f t="shared" si="3"/>
        <v>A-104</v>
      </c>
      <c r="I22" s="74"/>
      <c r="J22" s="75"/>
      <c r="K22" s="76"/>
    </row>
    <row r="23" spans="1:11" ht="25.8" x14ac:dyDescent="0.3">
      <c r="A23" s="70">
        <v>12</v>
      </c>
      <c r="B23" s="71">
        <v>99000</v>
      </c>
      <c r="C23" s="72">
        <v>47776</v>
      </c>
      <c r="D23" s="73">
        <v>183469</v>
      </c>
      <c r="E23" s="72" t="str">
        <f t="shared" si="0"/>
        <v>HSBC</v>
      </c>
      <c r="F23" s="72" t="str">
        <f t="shared" si="1"/>
        <v>A-104</v>
      </c>
      <c r="G23" s="72" t="str">
        <f t="shared" si="2"/>
        <v>HSBC</v>
      </c>
      <c r="H23" s="72" t="str">
        <f t="shared" si="3"/>
        <v>A-104</v>
      </c>
      <c r="I23" s="74"/>
      <c r="J23" s="75"/>
      <c r="K23" s="76"/>
    </row>
    <row r="24" spans="1:11" ht="25.8" x14ac:dyDescent="0.3">
      <c r="A24" s="70">
        <v>13</v>
      </c>
      <c r="B24" s="71">
        <v>99000</v>
      </c>
      <c r="C24" s="72">
        <v>47868</v>
      </c>
      <c r="D24" s="73">
        <v>183470</v>
      </c>
      <c r="E24" s="72" t="str">
        <f t="shared" si="0"/>
        <v>HSBC</v>
      </c>
      <c r="F24" s="72" t="str">
        <f t="shared" si="1"/>
        <v>A-104</v>
      </c>
      <c r="G24" s="72" t="str">
        <f t="shared" si="2"/>
        <v>HSBC</v>
      </c>
      <c r="H24" s="72" t="str">
        <f t="shared" si="3"/>
        <v>A-104</v>
      </c>
      <c r="I24" s="74"/>
      <c r="J24" s="75"/>
      <c r="K24" s="76"/>
    </row>
    <row r="25" spans="1:11" ht="25.8" x14ac:dyDescent="0.3">
      <c r="A25" s="70">
        <v>14</v>
      </c>
      <c r="B25" s="71">
        <v>99000</v>
      </c>
      <c r="C25" s="72">
        <v>47958</v>
      </c>
      <c r="D25" s="73">
        <v>183471</v>
      </c>
      <c r="E25" s="72" t="str">
        <f t="shared" si="0"/>
        <v>HSBC</v>
      </c>
      <c r="F25" s="72" t="str">
        <f t="shared" si="1"/>
        <v>A-104</v>
      </c>
      <c r="G25" s="72" t="str">
        <f t="shared" si="2"/>
        <v>HSBC</v>
      </c>
      <c r="H25" s="72" t="str">
        <f t="shared" si="3"/>
        <v>A-104</v>
      </c>
      <c r="I25" s="74"/>
      <c r="J25" s="75"/>
      <c r="K25" s="76"/>
    </row>
    <row r="26" spans="1:11" ht="25.8" x14ac:dyDescent="0.3">
      <c r="A26" s="70">
        <v>15</v>
      </c>
      <c r="B26" s="71">
        <v>99000</v>
      </c>
      <c r="C26" s="72">
        <v>48049</v>
      </c>
      <c r="D26" s="73">
        <v>183472</v>
      </c>
      <c r="E26" s="72" t="str">
        <f t="shared" si="0"/>
        <v>HSBC</v>
      </c>
      <c r="F26" s="72" t="str">
        <f t="shared" si="1"/>
        <v>A-104</v>
      </c>
      <c r="G26" s="72" t="str">
        <f t="shared" si="2"/>
        <v>HSBC</v>
      </c>
      <c r="H26" s="72" t="str">
        <f t="shared" si="3"/>
        <v>A-104</v>
      </c>
      <c r="I26" s="74"/>
      <c r="J26" s="75"/>
      <c r="K26" s="76"/>
    </row>
    <row r="27" spans="1:11" ht="25.8" x14ac:dyDescent="0.3">
      <c r="A27" s="70">
        <v>16</v>
      </c>
      <c r="B27" s="71">
        <v>99000</v>
      </c>
      <c r="C27" s="72">
        <v>48141</v>
      </c>
      <c r="D27" s="73">
        <v>267570</v>
      </c>
      <c r="E27" s="72" t="str">
        <f t="shared" si="0"/>
        <v>HSBC</v>
      </c>
      <c r="F27" s="72" t="str">
        <f t="shared" si="1"/>
        <v>A-104</v>
      </c>
      <c r="G27" s="72" t="str">
        <f t="shared" si="2"/>
        <v>HSBC</v>
      </c>
      <c r="H27" s="72" t="str">
        <f t="shared" si="3"/>
        <v>A-104</v>
      </c>
      <c r="I27" s="74"/>
      <c r="J27" s="75"/>
      <c r="K27" s="76"/>
    </row>
    <row r="28" spans="1:11" ht="25.8" x14ac:dyDescent="0.3">
      <c r="A28" s="70">
        <v>17</v>
      </c>
      <c r="B28" s="71">
        <v>99000</v>
      </c>
      <c r="C28" s="72">
        <v>48233</v>
      </c>
      <c r="D28" s="73">
        <v>267571</v>
      </c>
      <c r="E28" s="72" t="str">
        <f t="shared" si="0"/>
        <v>HSBC</v>
      </c>
      <c r="F28" s="72" t="str">
        <f t="shared" si="1"/>
        <v>A-104</v>
      </c>
      <c r="G28" s="72" t="str">
        <f t="shared" si="2"/>
        <v>HSBC</v>
      </c>
      <c r="H28" s="72" t="str">
        <f t="shared" si="3"/>
        <v>A-104</v>
      </c>
      <c r="I28" s="74"/>
      <c r="J28" s="75"/>
      <c r="K28" s="76"/>
    </row>
    <row r="29" spans="1:11" ht="25.8" x14ac:dyDescent="0.3">
      <c r="A29" s="70">
        <v>18</v>
      </c>
      <c r="B29" s="71">
        <v>99000</v>
      </c>
      <c r="C29" s="72">
        <v>48324</v>
      </c>
      <c r="D29" s="73">
        <v>267572</v>
      </c>
      <c r="E29" s="72" t="str">
        <f t="shared" si="0"/>
        <v>HSBC</v>
      </c>
      <c r="F29" s="72" t="str">
        <f t="shared" si="1"/>
        <v>A-104</v>
      </c>
      <c r="G29" s="72" t="str">
        <f t="shared" si="2"/>
        <v>HSBC</v>
      </c>
      <c r="H29" s="72" t="str">
        <f t="shared" si="3"/>
        <v>A-104</v>
      </c>
      <c r="I29" s="74"/>
      <c r="J29" s="75"/>
      <c r="K29" s="76"/>
    </row>
    <row r="30" spans="1:11" ht="25.8" x14ac:dyDescent="0.3">
      <c r="A30" s="70">
        <v>19</v>
      </c>
      <c r="B30" s="71">
        <v>99000</v>
      </c>
      <c r="C30" s="72">
        <v>48415</v>
      </c>
      <c r="D30" s="73">
        <v>267573</v>
      </c>
      <c r="E30" s="72" t="str">
        <f t="shared" si="0"/>
        <v>HSBC</v>
      </c>
      <c r="F30" s="72" t="str">
        <f t="shared" si="1"/>
        <v>A-104</v>
      </c>
      <c r="G30" s="72" t="str">
        <f t="shared" si="2"/>
        <v>HSBC</v>
      </c>
      <c r="H30" s="72" t="str">
        <f t="shared" si="3"/>
        <v>A-104</v>
      </c>
      <c r="I30" s="74"/>
      <c r="J30" s="75"/>
      <c r="K30" s="76"/>
    </row>
    <row r="31" spans="1:11" ht="25.8" x14ac:dyDescent="0.3">
      <c r="A31" s="70">
        <v>20</v>
      </c>
      <c r="B31" s="71">
        <v>99000</v>
      </c>
      <c r="C31" s="72">
        <v>48507</v>
      </c>
      <c r="D31" s="73">
        <v>267574</v>
      </c>
      <c r="E31" s="72" t="str">
        <f t="shared" si="0"/>
        <v>HSBC</v>
      </c>
      <c r="F31" s="72" t="str">
        <f t="shared" si="1"/>
        <v>A-104</v>
      </c>
      <c r="G31" s="72" t="str">
        <f t="shared" si="2"/>
        <v>HSBC</v>
      </c>
      <c r="H31" s="72" t="str">
        <f t="shared" si="3"/>
        <v>A-104</v>
      </c>
      <c r="I31" s="74"/>
      <c r="J31" s="75"/>
      <c r="K31" s="76"/>
    </row>
    <row r="32" spans="1:11" ht="25.8" x14ac:dyDescent="0.3">
      <c r="A32" s="70">
        <v>21</v>
      </c>
      <c r="B32" s="71">
        <v>99000</v>
      </c>
      <c r="C32" s="72">
        <v>48599</v>
      </c>
      <c r="D32" s="73">
        <v>267575</v>
      </c>
      <c r="E32" s="72" t="str">
        <f t="shared" si="0"/>
        <v>HSBC</v>
      </c>
      <c r="F32" s="72" t="str">
        <f t="shared" si="1"/>
        <v>A-104</v>
      </c>
      <c r="G32" s="72" t="str">
        <f t="shared" si="2"/>
        <v>HSBC</v>
      </c>
      <c r="H32" s="72" t="str">
        <f t="shared" si="3"/>
        <v>A-104</v>
      </c>
      <c r="I32" s="74"/>
      <c r="J32" s="75"/>
      <c r="K32" s="76"/>
    </row>
    <row r="33" spans="1:11" ht="25.8" x14ac:dyDescent="0.3">
      <c r="A33" s="70">
        <v>22</v>
      </c>
      <c r="B33" s="71">
        <v>99000</v>
      </c>
      <c r="C33" s="72">
        <v>48689</v>
      </c>
      <c r="D33" s="73">
        <v>267576</v>
      </c>
      <c r="E33" s="72" t="str">
        <f t="shared" si="0"/>
        <v>HSBC</v>
      </c>
      <c r="F33" s="72" t="str">
        <f t="shared" si="1"/>
        <v>A-104</v>
      </c>
      <c r="G33" s="72" t="str">
        <f t="shared" si="2"/>
        <v>HSBC</v>
      </c>
      <c r="H33" s="72" t="str">
        <f t="shared" si="3"/>
        <v>A-104</v>
      </c>
      <c r="I33" s="74"/>
      <c r="J33" s="75"/>
      <c r="K33" s="76"/>
    </row>
    <row r="34" spans="1:11" ht="25.8" x14ac:dyDescent="0.3">
      <c r="A34" s="70">
        <v>23</v>
      </c>
      <c r="B34" s="71">
        <v>99000</v>
      </c>
      <c r="C34" s="72">
        <v>48780</v>
      </c>
      <c r="D34" s="73">
        <v>267577</v>
      </c>
      <c r="E34" s="72" t="str">
        <f t="shared" si="0"/>
        <v>HSBC</v>
      </c>
      <c r="F34" s="72" t="str">
        <f t="shared" si="1"/>
        <v>A-104</v>
      </c>
      <c r="G34" s="72" t="str">
        <f t="shared" si="2"/>
        <v>HSBC</v>
      </c>
      <c r="H34" s="72" t="str">
        <f t="shared" si="3"/>
        <v>A-104</v>
      </c>
      <c r="I34" s="74"/>
      <c r="J34" s="75"/>
      <c r="K34" s="76"/>
    </row>
    <row r="35" spans="1:11" ht="25.8" x14ac:dyDescent="0.3">
      <c r="A35" s="70">
        <v>24</v>
      </c>
      <c r="B35" s="71">
        <v>99000</v>
      </c>
      <c r="C35" s="72">
        <v>48872</v>
      </c>
      <c r="D35" s="73">
        <v>267578</v>
      </c>
      <c r="E35" s="72" t="str">
        <f t="shared" si="0"/>
        <v>HSBC</v>
      </c>
      <c r="F35" s="72" t="str">
        <f t="shared" si="1"/>
        <v>A-104</v>
      </c>
      <c r="G35" s="72" t="str">
        <f t="shared" si="2"/>
        <v>HSBC</v>
      </c>
      <c r="H35" s="72" t="str">
        <f t="shared" si="3"/>
        <v>A-104</v>
      </c>
      <c r="I35" s="74"/>
      <c r="J35" s="75"/>
      <c r="K35" s="76"/>
    </row>
    <row r="36" spans="1:11" ht="25.8" x14ac:dyDescent="0.3">
      <c r="A36" s="70">
        <v>25</v>
      </c>
      <c r="B36" s="71">
        <v>99000</v>
      </c>
      <c r="C36" s="72">
        <v>48964</v>
      </c>
      <c r="D36" s="73">
        <v>267579</v>
      </c>
      <c r="E36" s="72" t="str">
        <f t="shared" si="0"/>
        <v>HSBC</v>
      </c>
      <c r="F36" s="72" t="str">
        <f t="shared" si="1"/>
        <v>A-104</v>
      </c>
      <c r="G36" s="72" t="str">
        <f t="shared" si="2"/>
        <v>HSBC</v>
      </c>
      <c r="H36" s="72" t="str">
        <f t="shared" si="3"/>
        <v>A-104</v>
      </c>
      <c r="I36" s="74"/>
      <c r="J36" s="75"/>
      <c r="K36" s="76"/>
    </row>
    <row r="37" spans="1:11" ht="25.8" x14ac:dyDescent="0.3">
      <c r="A37" s="70">
        <v>26</v>
      </c>
      <c r="B37" s="71">
        <v>99000</v>
      </c>
      <c r="C37" s="72">
        <v>49054</v>
      </c>
      <c r="D37" s="73">
        <v>267580</v>
      </c>
      <c r="E37" s="72" t="str">
        <f t="shared" si="0"/>
        <v>HSBC</v>
      </c>
      <c r="F37" s="72" t="str">
        <f t="shared" si="1"/>
        <v>A-104</v>
      </c>
      <c r="G37" s="72" t="str">
        <f t="shared" si="2"/>
        <v>HSBC</v>
      </c>
      <c r="H37" s="72" t="str">
        <f t="shared" si="3"/>
        <v>A-104</v>
      </c>
      <c r="I37" s="74"/>
      <c r="J37" s="75"/>
      <c r="K37" s="76"/>
    </row>
    <row r="38" spans="1:11" ht="25.8" x14ac:dyDescent="0.3">
      <c r="A38" s="70">
        <v>27</v>
      </c>
      <c r="B38" s="71">
        <v>99000</v>
      </c>
      <c r="C38" s="72">
        <v>49145</v>
      </c>
      <c r="D38" s="73">
        <v>267581</v>
      </c>
      <c r="E38" s="72" t="str">
        <f t="shared" si="0"/>
        <v>HSBC</v>
      </c>
      <c r="F38" s="72" t="str">
        <f t="shared" si="1"/>
        <v>A-104</v>
      </c>
      <c r="G38" s="72" t="str">
        <f t="shared" si="2"/>
        <v>HSBC</v>
      </c>
      <c r="H38" s="72" t="str">
        <f t="shared" si="3"/>
        <v>A-104</v>
      </c>
      <c r="I38" s="74"/>
      <c r="J38" s="75"/>
      <c r="K38" s="76"/>
    </row>
    <row r="39" spans="1:11" ht="25.8" x14ac:dyDescent="0.3">
      <c r="A39" s="70">
        <v>28</v>
      </c>
      <c r="B39" s="71">
        <v>99000</v>
      </c>
      <c r="C39" s="72">
        <v>49237</v>
      </c>
      <c r="D39" s="73">
        <v>267582</v>
      </c>
      <c r="E39" s="72" t="str">
        <f t="shared" si="0"/>
        <v>HSBC</v>
      </c>
      <c r="F39" s="72" t="str">
        <f t="shared" si="1"/>
        <v>A-104</v>
      </c>
      <c r="G39" s="72" t="str">
        <f t="shared" si="2"/>
        <v>HSBC</v>
      </c>
      <c r="H39" s="72" t="str">
        <f t="shared" si="3"/>
        <v>A-104</v>
      </c>
      <c r="I39" s="74"/>
      <c r="J39" s="75"/>
      <c r="K39" s="76"/>
    </row>
    <row r="40" spans="1:11" ht="25.8" x14ac:dyDescent="0.3">
      <c r="A40" s="70">
        <v>29</v>
      </c>
      <c r="B40" s="71">
        <v>99000</v>
      </c>
      <c r="C40" s="72">
        <v>49329</v>
      </c>
      <c r="D40" s="73">
        <v>267583</v>
      </c>
      <c r="E40" s="72" t="str">
        <f t="shared" si="0"/>
        <v>HSBC</v>
      </c>
      <c r="F40" s="72" t="str">
        <f t="shared" si="1"/>
        <v>A-104</v>
      </c>
      <c r="G40" s="72" t="str">
        <f t="shared" si="2"/>
        <v>HSBC</v>
      </c>
      <c r="H40" s="72" t="str">
        <f t="shared" si="3"/>
        <v>A-104</v>
      </c>
      <c r="I40" s="74"/>
      <c r="J40" s="75"/>
      <c r="K40" s="76"/>
    </row>
    <row r="41" spans="1:11" ht="25.8" x14ac:dyDescent="0.3">
      <c r="A41" s="70">
        <v>30</v>
      </c>
      <c r="B41" s="71">
        <v>99000</v>
      </c>
      <c r="C41" s="72">
        <v>49419</v>
      </c>
      <c r="D41" s="73">
        <v>267584</v>
      </c>
      <c r="E41" s="72" t="str">
        <f t="shared" si="0"/>
        <v>HSBC</v>
      </c>
      <c r="F41" s="72" t="str">
        <f t="shared" si="1"/>
        <v>A-104</v>
      </c>
      <c r="G41" s="72" t="str">
        <f t="shared" si="2"/>
        <v>HSBC</v>
      </c>
      <c r="H41" s="72" t="str">
        <f t="shared" si="3"/>
        <v>A-104</v>
      </c>
      <c r="I41" s="74"/>
      <c r="J41" s="75"/>
      <c r="K41" s="76"/>
    </row>
    <row r="42" spans="1:11" ht="25.8" x14ac:dyDescent="0.3">
      <c r="A42" s="70">
        <v>31</v>
      </c>
      <c r="B42" s="71">
        <v>99000</v>
      </c>
      <c r="C42" s="72">
        <v>49510</v>
      </c>
      <c r="D42" s="73">
        <v>267585</v>
      </c>
      <c r="E42" s="72" t="str">
        <f t="shared" si="0"/>
        <v>HSBC</v>
      </c>
      <c r="F42" s="72" t="str">
        <f t="shared" si="1"/>
        <v>A-104</v>
      </c>
      <c r="G42" s="72" t="str">
        <f t="shared" si="2"/>
        <v>HSBC</v>
      </c>
      <c r="H42" s="72" t="str">
        <f t="shared" si="3"/>
        <v>A-104</v>
      </c>
      <c r="I42" s="74"/>
      <c r="J42" s="75"/>
      <c r="K42" s="76"/>
    </row>
    <row r="43" spans="1:11" ht="25.8" x14ac:dyDescent="0.3">
      <c r="A43" s="70">
        <v>32</v>
      </c>
      <c r="B43" s="71">
        <v>99000</v>
      </c>
      <c r="C43" s="72">
        <v>49602</v>
      </c>
      <c r="D43" s="73">
        <v>267586</v>
      </c>
      <c r="E43" s="72" t="str">
        <f t="shared" si="0"/>
        <v>HSBC</v>
      </c>
      <c r="F43" s="72" t="str">
        <f t="shared" si="1"/>
        <v>A-104</v>
      </c>
      <c r="G43" s="72" t="str">
        <f t="shared" si="2"/>
        <v>HSBC</v>
      </c>
      <c r="H43" s="72" t="str">
        <f t="shared" si="3"/>
        <v>A-104</v>
      </c>
      <c r="I43" s="74"/>
      <c r="J43" s="75"/>
      <c r="K43" s="76"/>
    </row>
    <row r="44" spans="1:11" ht="25.8" x14ac:dyDescent="0.3">
      <c r="A44" s="70">
        <v>33</v>
      </c>
      <c r="B44" s="71">
        <v>99000</v>
      </c>
      <c r="C44" s="72">
        <v>49694</v>
      </c>
      <c r="D44" s="73">
        <v>267587</v>
      </c>
      <c r="E44" s="72" t="str">
        <f t="shared" si="0"/>
        <v>HSBC</v>
      </c>
      <c r="F44" s="72" t="str">
        <f t="shared" si="1"/>
        <v>A-104</v>
      </c>
      <c r="G44" s="72" t="str">
        <f t="shared" si="2"/>
        <v>HSBC</v>
      </c>
      <c r="H44" s="72" t="str">
        <f t="shared" si="3"/>
        <v>A-104</v>
      </c>
      <c r="I44" s="74"/>
      <c r="J44" s="75"/>
      <c r="K44" s="76"/>
    </row>
    <row r="45" spans="1:11" ht="25.8" x14ac:dyDescent="0.3">
      <c r="A45" s="70">
        <v>34</v>
      </c>
      <c r="B45" s="71">
        <v>99000</v>
      </c>
      <c r="C45" s="72">
        <v>49785</v>
      </c>
      <c r="D45" s="73">
        <v>267588</v>
      </c>
      <c r="E45" s="72" t="str">
        <f t="shared" si="0"/>
        <v>HSBC</v>
      </c>
      <c r="F45" s="72" t="str">
        <f t="shared" si="1"/>
        <v>A-104</v>
      </c>
      <c r="G45" s="72" t="str">
        <f t="shared" si="2"/>
        <v>HSBC</v>
      </c>
      <c r="H45" s="72" t="str">
        <f t="shared" si="3"/>
        <v>A-104</v>
      </c>
      <c r="I45" s="74"/>
      <c r="J45" s="75"/>
      <c r="K45" s="76"/>
    </row>
    <row r="46" spans="1:11" ht="25.8" x14ac:dyDescent="0.3">
      <c r="A46" s="70">
        <v>35</v>
      </c>
      <c r="B46" s="71">
        <v>99000</v>
      </c>
      <c r="C46" s="72">
        <v>49876</v>
      </c>
      <c r="D46" s="73">
        <v>267589</v>
      </c>
      <c r="E46" s="72" t="str">
        <f t="shared" si="0"/>
        <v>HSBC</v>
      </c>
      <c r="F46" s="72" t="str">
        <f t="shared" si="1"/>
        <v>A-104</v>
      </c>
      <c r="G46" s="72" t="str">
        <f t="shared" si="2"/>
        <v>HSBC</v>
      </c>
      <c r="H46" s="72" t="str">
        <f t="shared" si="3"/>
        <v>A-104</v>
      </c>
      <c r="I46" s="74"/>
      <c r="J46" s="75"/>
      <c r="K46" s="76"/>
    </row>
    <row r="47" spans="1:11" ht="25.8" x14ac:dyDescent="0.3">
      <c r="A47" s="45"/>
      <c r="B47" s="46"/>
      <c r="C47" s="46"/>
      <c r="D47" s="47"/>
      <c r="E47" s="48"/>
      <c r="F47" s="73"/>
      <c r="G47" s="45"/>
      <c r="H47" s="2"/>
      <c r="I47" s="46"/>
      <c r="J47" s="2"/>
      <c r="K47" s="2"/>
    </row>
    <row r="48" spans="1:11" ht="29.4" thickBot="1" x14ac:dyDescent="0.35">
      <c r="A48" s="50"/>
      <c r="B48" s="84">
        <f>SUM(B12:B47)</f>
        <v>3465000</v>
      </c>
      <c r="C48" s="84"/>
      <c r="D48" s="51"/>
      <c r="E48" s="52"/>
      <c r="F48" s="77"/>
      <c r="G48" s="54"/>
      <c r="H48" s="55"/>
      <c r="I48" s="56"/>
      <c r="J48" s="55"/>
      <c r="K48" s="55"/>
    </row>
    <row r="49" spans="1:11" ht="21.6" thickTop="1" x14ac:dyDescent="0.4">
      <c r="A49" s="16"/>
      <c r="D49" s="47"/>
      <c r="E49" s="57"/>
      <c r="F49" s="49"/>
      <c r="I49" s="16"/>
    </row>
    <row r="50" spans="1:11" ht="62.55" customHeight="1" x14ac:dyDescent="0.55000000000000004">
      <c r="A50" s="85" t="s">
        <v>45</v>
      </c>
      <c r="B50" s="85"/>
      <c r="C50" s="85"/>
      <c r="D50" s="85"/>
      <c r="E50" s="85"/>
      <c r="F50" s="85"/>
      <c r="G50" s="59"/>
      <c r="H50" s="59"/>
      <c r="I50" s="58"/>
      <c r="J50" s="59"/>
      <c r="K50" s="59"/>
    </row>
    <row r="51" spans="1:11" ht="55.95" customHeight="1" x14ac:dyDescent="0.3">
      <c r="A51" s="85" t="s">
        <v>46</v>
      </c>
      <c r="B51" s="85"/>
      <c r="C51" s="85"/>
      <c r="D51" s="85"/>
      <c r="E51" s="85"/>
      <c r="F51" s="85"/>
    </row>
  </sheetData>
  <mergeCells count="8">
    <mergeCell ref="B48:C48"/>
    <mergeCell ref="A50:F50"/>
    <mergeCell ref="A51:F51"/>
    <mergeCell ref="A1:I1"/>
    <mergeCell ref="J1:K1"/>
    <mergeCell ref="B3:C3"/>
    <mergeCell ref="D3:E3"/>
    <mergeCell ref="J3:K3"/>
  </mergeCells>
  <pageMargins left="0.7" right="0.7" top="0.75" bottom="0.75" header="0.3" footer="0.3"/>
  <pageSetup paperSize="9" scale="4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E948-4A2C-4C24-9857-DA6FF0C14A83}">
  <dimension ref="A1:K39"/>
  <sheetViews>
    <sheetView rightToLeft="1" view="pageBreakPreview" topLeftCell="A24" zoomScale="60" zoomScaleNormal="55" workbookViewId="0">
      <selection activeCell="B36" sqref="B36:C36"/>
    </sheetView>
  </sheetViews>
  <sheetFormatPr defaultRowHeight="14.4" x14ac:dyDescent="0.3"/>
  <cols>
    <col min="1" max="1" width="34.5546875" bestFit="1" customWidth="1"/>
    <col min="2" max="2" width="29.109375" customWidth="1"/>
    <col min="3" max="3" width="22.33203125" bestFit="1" customWidth="1"/>
    <col min="4" max="4" width="31.5546875" bestFit="1" customWidth="1"/>
    <col min="5" max="5" width="22.77734375" bestFit="1" customWidth="1"/>
    <col min="6" max="6" width="31.21875" bestFit="1" customWidth="1"/>
    <col min="7" max="7" width="22.33203125" hidden="1" customWidth="1"/>
    <col min="8" max="8" width="54.77734375" hidden="1" customWidth="1"/>
    <col min="9" max="11" width="0" hidden="1" customWidth="1"/>
  </cols>
  <sheetData>
    <row r="1" spans="1:11" ht="37.200000000000003" thickBot="1" x14ac:dyDescent="0.35">
      <c r="A1" s="86" t="s">
        <v>39</v>
      </c>
      <c r="B1" s="86"/>
      <c r="C1" s="86"/>
      <c r="D1" s="86"/>
      <c r="E1" s="86"/>
      <c r="F1" s="86"/>
      <c r="G1" s="86"/>
      <c r="H1" s="86"/>
      <c r="I1" s="86"/>
      <c r="J1" s="87"/>
      <c r="K1" s="88"/>
    </row>
    <row r="2" spans="1:11" ht="21.6" thickTop="1" x14ac:dyDescent="0.4">
      <c r="A2" s="1"/>
      <c r="B2" s="2"/>
      <c r="C2" s="2"/>
      <c r="D2" s="3"/>
      <c r="E2" s="4"/>
      <c r="F2" s="5"/>
      <c r="G2" s="2"/>
      <c r="H2" s="2"/>
      <c r="I2" s="1"/>
      <c r="J2" s="2"/>
      <c r="K2" s="2"/>
    </row>
    <row r="3" spans="1:11" ht="34.200000000000003" thickBot="1" x14ac:dyDescent="0.35">
      <c r="A3" s="6" t="s">
        <v>9</v>
      </c>
      <c r="B3" s="94">
        <v>46307</v>
      </c>
      <c r="C3" s="94"/>
      <c r="D3" s="95" t="s">
        <v>10</v>
      </c>
      <c r="E3" s="96"/>
      <c r="F3" s="7" t="str">
        <f>G9</f>
        <v>A-306</v>
      </c>
      <c r="G3" s="8"/>
      <c r="H3" s="9"/>
      <c r="I3" s="10"/>
      <c r="J3" s="92">
        <f>B36</f>
        <v>4026891</v>
      </c>
      <c r="K3" s="92"/>
    </row>
    <row r="4" spans="1:11" ht="21.6" thickTop="1" x14ac:dyDescent="0.4">
      <c r="A4" s="1"/>
      <c r="B4" s="2"/>
      <c r="C4" s="2"/>
      <c r="D4" s="3"/>
      <c r="E4" s="4"/>
      <c r="F4" s="5"/>
      <c r="G4" s="2"/>
      <c r="H4" s="2"/>
      <c r="I4" s="1"/>
      <c r="J4" s="2"/>
      <c r="K4" s="2"/>
    </row>
    <row r="5" spans="1:11" ht="54" x14ac:dyDescent="0.4">
      <c r="A5" s="20" t="s">
        <v>11</v>
      </c>
      <c r="B5" s="12" t="s">
        <v>38</v>
      </c>
      <c r="C5" s="13"/>
      <c r="D5" s="14"/>
      <c r="E5" s="15"/>
      <c r="F5" s="5"/>
      <c r="G5" s="2"/>
      <c r="I5" s="16"/>
      <c r="J5" s="2"/>
      <c r="K5" s="2"/>
    </row>
    <row r="6" spans="1:11" ht="54" x14ac:dyDescent="0.4">
      <c r="A6" s="20" t="s">
        <v>40</v>
      </c>
      <c r="B6" s="12" t="s">
        <v>41</v>
      </c>
      <c r="C6" s="13"/>
      <c r="D6" s="14"/>
      <c r="E6" s="15"/>
      <c r="F6" s="5"/>
      <c r="G6" s="2"/>
      <c r="H6" s="2"/>
      <c r="I6" s="1"/>
      <c r="J6" s="2"/>
      <c r="K6" s="2"/>
    </row>
    <row r="7" spans="1:11" ht="25.8" x14ac:dyDescent="0.3">
      <c r="A7" s="20" t="s">
        <v>12</v>
      </c>
      <c r="B7" s="20" t="s">
        <v>13</v>
      </c>
      <c r="C7" s="18"/>
      <c r="D7" s="21"/>
      <c r="E7" s="22"/>
      <c r="F7" s="17"/>
      <c r="G7" s="18"/>
      <c r="H7" s="18"/>
      <c r="I7" s="19"/>
      <c r="J7" s="18"/>
      <c r="K7" s="18"/>
    </row>
    <row r="8" spans="1:11" ht="29.4" thickBot="1" x14ac:dyDescent="0.35">
      <c r="A8" s="20"/>
      <c r="B8" s="20" t="s">
        <v>59</v>
      </c>
      <c r="C8" s="18"/>
      <c r="D8" s="21"/>
      <c r="E8" s="24"/>
      <c r="F8" s="25"/>
      <c r="G8" s="26"/>
      <c r="H8" s="27" t="s">
        <v>15</v>
      </c>
      <c r="I8" s="28"/>
      <c r="J8" s="29" t="s">
        <v>16</v>
      </c>
      <c r="K8" s="18"/>
    </row>
    <row r="9" spans="1:11" ht="34.799999999999997" thickTop="1" thickBot="1" x14ac:dyDescent="0.35">
      <c r="A9" s="20" t="s">
        <v>17</v>
      </c>
      <c r="B9" s="20" t="s">
        <v>60</v>
      </c>
      <c r="C9" s="18"/>
      <c r="D9" s="21"/>
      <c r="E9" s="22"/>
      <c r="F9" s="17"/>
      <c r="G9" s="30" t="s">
        <v>18</v>
      </c>
      <c r="H9" s="31" t="s">
        <v>19</v>
      </c>
      <c r="I9" s="26"/>
      <c r="J9" s="18"/>
      <c r="K9" s="18"/>
    </row>
    <row r="10" spans="1:11" ht="36.450000000000003" customHeight="1" thickTop="1" thickBot="1" x14ac:dyDescent="0.35">
      <c r="A10" s="20" t="s">
        <v>55</v>
      </c>
      <c r="B10" s="20" t="s">
        <v>61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29.4" thickTop="1" x14ac:dyDescent="0.3">
      <c r="A11" s="60" t="s">
        <v>42</v>
      </c>
      <c r="B11" s="60" t="s">
        <v>20</v>
      </c>
      <c r="C11" s="61" t="s">
        <v>9</v>
      </c>
      <c r="D11" s="62" t="s">
        <v>21</v>
      </c>
      <c r="E11" s="63" t="s">
        <v>22</v>
      </c>
      <c r="F11" s="64" t="s">
        <v>43</v>
      </c>
      <c r="G11" s="33" t="s">
        <v>22</v>
      </c>
      <c r="H11" s="34" t="s">
        <v>23</v>
      </c>
      <c r="I11" s="35" t="s">
        <v>24</v>
      </c>
      <c r="J11" s="36"/>
      <c r="K11" s="37"/>
    </row>
    <row r="12" spans="1:11" ht="28.8" x14ac:dyDescent="0.3">
      <c r="A12" s="38">
        <v>1</v>
      </c>
      <c r="B12" s="39">
        <v>234000</v>
      </c>
      <c r="C12" s="40">
        <v>46638</v>
      </c>
      <c r="D12" s="41">
        <v>18290000359227</v>
      </c>
      <c r="E12" s="40" t="str">
        <f t="shared" ref="E12:E34" si="0">$J$8</f>
        <v>الأهلي المصري</v>
      </c>
      <c r="F12" s="40" t="str">
        <f t="shared" ref="F12:F34" si="1">$G$9</f>
        <v>A-306</v>
      </c>
      <c r="G12" s="40"/>
      <c r="H12" s="40"/>
      <c r="I12" s="42"/>
      <c r="J12" s="43"/>
      <c r="K12" s="44"/>
    </row>
    <row r="13" spans="1:11" ht="28.8" x14ac:dyDescent="0.3">
      <c r="A13" s="38">
        <v>2</v>
      </c>
      <c r="B13" s="39">
        <v>150000</v>
      </c>
      <c r="C13" s="40">
        <v>46729</v>
      </c>
      <c r="D13" s="41">
        <v>18290000359209</v>
      </c>
      <c r="E13" s="40" t="str">
        <f t="shared" si="0"/>
        <v>الأهلي المصري</v>
      </c>
      <c r="F13" s="40" t="str">
        <f t="shared" si="1"/>
        <v>A-306</v>
      </c>
      <c r="G13" s="40"/>
      <c r="H13" s="40"/>
      <c r="I13" s="42"/>
      <c r="J13" s="43"/>
      <c r="K13" s="44"/>
    </row>
    <row r="14" spans="1:11" ht="28.8" x14ac:dyDescent="0.3">
      <c r="A14" s="38">
        <v>3</v>
      </c>
      <c r="B14" s="39">
        <v>234000</v>
      </c>
      <c r="C14" s="40">
        <v>47004</v>
      </c>
      <c r="D14" s="41">
        <v>18290000359228</v>
      </c>
      <c r="E14" s="40" t="str">
        <f t="shared" si="0"/>
        <v>الأهلي المصري</v>
      </c>
      <c r="F14" s="40" t="str">
        <f t="shared" si="1"/>
        <v>A-306</v>
      </c>
      <c r="G14" s="40"/>
      <c r="H14" s="40"/>
      <c r="I14" s="42"/>
      <c r="J14" s="43"/>
      <c r="K14" s="44"/>
    </row>
    <row r="15" spans="1:11" ht="28.8" x14ac:dyDescent="0.3">
      <c r="A15" s="38">
        <v>4</v>
      </c>
      <c r="B15" s="39">
        <v>150000</v>
      </c>
      <c r="C15" s="40">
        <v>47095</v>
      </c>
      <c r="D15" s="41">
        <v>18290000359212</v>
      </c>
      <c r="E15" s="40" t="str">
        <f t="shared" si="0"/>
        <v>الأهلي المصري</v>
      </c>
      <c r="F15" s="40" t="str">
        <f t="shared" si="1"/>
        <v>A-306</v>
      </c>
      <c r="G15" s="40"/>
      <c r="H15" s="40"/>
      <c r="I15" s="42"/>
      <c r="J15" s="43"/>
      <c r="K15" s="44"/>
    </row>
    <row r="16" spans="1:11" ht="28.8" x14ac:dyDescent="0.3">
      <c r="A16" s="38">
        <v>5</v>
      </c>
      <c r="B16" s="39">
        <v>150000</v>
      </c>
      <c r="C16" s="40">
        <v>47185</v>
      </c>
      <c r="D16" s="41">
        <v>18290000359213</v>
      </c>
      <c r="E16" s="40" t="str">
        <f t="shared" si="0"/>
        <v>الأهلي المصري</v>
      </c>
      <c r="F16" s="40" t="str">
        <f t="shared" si="1"/>
        <v>A-306</v>
      </c>
      <c r="G16" s="40"/>
      <c r="H16" s="40"/>
      <c r="I16" s="42"/>
      <c r="J16" s="43"/>
      <c r="K16" s="44"/>
    </row>
    <row r="17" spans="1:11" ht="28.8" x14ac:dyDescent="0.3">
      <c r="A17" s="38">
        <v>6</v>
      </c>
      <c r="B17" s="39">
        <v>150000</v>
      </c>
      <c r="C17" s="40">
        <v>47277</v>
      </c>
      <c r="D17" s="41">
        <v>18290000359214</v>
      </c>
      <c r="E17" s="40" t="str">
        <f t="shared" si="0"/>
        <v>الأهلي المصري</v>
      </c>
      <c r="F17" s="40" t="str">
        <f t="shared" si="1"/>
        <v>A-306</v>
      </c>
      <c r="G17" s="40"/>
      <c r="H17" s="40"/>
      <c r="I17" s="42"/>
      <c r="J17" s="43"/>
      <c r="K17" s="44"/>
    </row>
    <row r="18" spans="1:11" ht="28.8" x14ac:dyDescent="0.3">
      <c r="A18" s="38">
        <v>7</v>
      </c>
      <c r="B18" s="39">
        <v>234000</v>
      </c>
      <c r="C18" s="40">
        <v>47369</v>
      </c>
      <c r="D18" s="41">
        <v>18290000359229</v>
      </c>
      <c r="E18" s="40" t="str">
        <f t="shared" si="0"/>
        <v>الأهلي المصري</v>
      </c>
      <c r="F18" s="40" t="str">
        <f t="shared" si="1"/>
        <v>A-306</v>
      </c>
      <c r="G18" s="40"/>
      <c r="H18" s="40"/>
      <c r="I18" s="42"/>
      <c r="J18" s="43"/>
      <c r="K18" s="44"/>
    </row>
    <row r="19" spans="1:11" ht="28.8" x14ac:dyDescent="0.3">
      <c r="A19" s="38">
        <v>8</v>
      </c>
      <c r="B19" s="39">
        <v>150000</v>
      </c>
      <c r="C19" s="40">
        <v>47460</v>
      </c>
      <c r="D19" s="41">
        <v>18290000359215</v>
      </c>
      <c r="E19" s="40" t="str">
        <f t="shared" si="0"/>
        <v>الأهلي المصري</v>
      </c>
      <c r="F19" s="40" t="str">
        <f t="shared" si="1"/>
        <v>A-306</v>
      </c>
      <c r="G19" s="40"/>
      <c r="H19" s="40"/>
      <c r="I19" s="42"/>
      <c r="J19" s="43"/>
      <c r="K19" s="44"/>
    </row>
    <row r="20" spans="1:11" ht="28.8" x14ac:dyDescent="0.3">
      <c r="A20" s="38">
        <v>9</v>
      </c>
      <c r="B20" s="39">
        <v>150000</v>
      </c>
      <c r="C20" s="40">
        <v>47550</v>
      </c>
      <c r="D20" s="41">
        <v>18290000359216</v>
      </c>
      <c r="E20" s="40" t="str">
        <f t="shared" si="0"/>
        <v>الأهلي المصري</v>
      </c>
      <c r="F20" s="40" t="str">
        <f t="shared" si="1"/>
        <v>A-306</v>
      </c>
      <c r="G20" s="40"/>
      <c r="H20" s="40"/>
      <c r="I20" s="42"/>
      <c r="J20" s="43"/>
      <c r="K20" s="44"/>
    </row>
    <row r="21" spans="1:11" ht="28.8" x14ac:dyDescent="0.3">
      <c r="A21" s="38">
        <v>10</v>
      </c>
      <c r="B21" s="39">
        <v>150000</v>
      </c>
      <c r="C21" s="40">
        <v>47642</v>
      </c>
      <c r="D21" s="41">
        <v>18290000359217</v>
      </c>
      <c r="E21" s="40" t="str">
        <f t="shared" si="0"/>
        <v>الأهلي المصري</v>
      </c>
      <c r="F21" s="40" t="str">
        <f t="shared" si="1"/>
        <v>A-306</v>
      </c>
      <c r="G21" s="40"/>
      <c r="H21" s="40"/>
      <c r="I21" s="42"/>
      <c r="J21" s="43"/>
      <c r="K21" s="44"/>
    </row>
    <row r="22" spans="1:11" ht="28.8" x14ac:dyDescent="0.3">
      <c r="A22" s="38">
        <v>11</v>
      </c>
      <c r="B22" s="39">
        <v>234000</v>
      </c>
      <c r="C22" s="40">
        <v>47734</v>
      </c>
      <c r="D22" s="41">
        <v>18290000359230</v>
      </c>
      <c r="E22" s="40" t="str">
        <f t="shared" si="0"/>
        <v>الأهلي المصري</v>
      </c>
      <c r="F22" s="40" t="str">
        <f t="shared" si="1"/>
        <v>A-306</v>
      </c>
      <c r="G22" s="40"/>
      <c r="H22" s="40"/>
      <c r="I22" s="42"/>
      <c r="J22" s="43"/>
      <c r="K22" s="44"/>
    </row>
    <row r="23" spans="1:11" ht="28.8" x14ac:dyDescent="0.3">
      <c r="A23" s="38">
        <v>12</v>
      </c>
      <c r="B23" s="39">
        <v>150000</v>
      </c>
      <c r="C23" s="40">
        <v>47825</v>
      </c>
      <c r="D23" s="41">
        <v>18290000359218</v>
      </c>
      <c r="E23" s="40" t="str">
        <f t="shared" si="0"/>
        <v>الأهلي المصري</v>
      </c>
      <c r="F23" s="40" t="str">
        <f t="shared" si="1"/>
        <v>A-306</v>
      </c>
      <c r="G23" s="40"/>
      <c r="H23" s="40"/>
      <c r="I23" s="42"/>
      <c r="J23" s="43"/>
      <c r="K23" s="44"/>
    </row>
    <row r="24" spans="1:11" ht="28.8" x14ac:dyDescent="0.3">
      <c r="A24" s="38">
        <v>13</v>
      </c>
      <c r="B24" s="39">
        <v>150000</v>
      </c>
      <c r="C24" s="40">
        <v>47915</v>
      </c>
      <c r="D24" s="41">
        <v>18290000359219</v>
      </c>
      <c r="E24" s="40" t="str">
        <f t="shared" si="0"/>
        <v>الأهلي المصري</v>
      </c>
      <c r="F24" s="40" t="str">
        <f t="shared" si="1"/>
        <v>A-306</v>
      </c>
      <c r="G24" s="40"/>
      <c r="H24" s="40"/>
      <c r="I24" s="42"/>
      <c r="J24" s="43"/>
      <c r="K24" s="44"/>
    </row>
    <row r="25" spans="1:11" ht="28.8" x14ac:dyDescent="0.3">
      <c r="A25" s="38">
        <v>14</v>
      </c>
      <c r="B25" s="39">
        <v>150000</v>
      </c>
      <c r="C25" s="40">
        <v>48007</v>
      </c>
      <c r="D25" s="41">
        <v>18290000359220</v>
      </c>
      <c r="E25" s="40" t="str">
        <f t="shared" si="0"/>
        <v>الأهلي المصري</v>
      </c>
      <c r="F25" s="40" t="str">
        <f t="shared" si="1"/>
        <v>A-306</v>
      </c>
      <c r="G25" s="40"/>
      <c r="H25" s="40"/>
      <c r="I25" s="42"/>
      <c r="J25" s="43"/>
      <c r="K25" s="44"/>
    </row>
    <row r="26" spans="1:11" ht="28.8" x14ac:dyDescent="0.3">
      <c r="A26" s="38">
        <v>15</v>
      </c>
      <c r="B26" s="39">
        <v>234000</v>
      </c>
      <c r="C26" s="40">
        <v>48099</v>
      </c>
      <c r="D26" s="41">
        <v>18290000362281</v>
      </c>
      <c r="E26" s="40" t="str">
        <f t="shared" si="0"/>
        <v>الأهلي المصري</v>
      </c>
      <c r="F26" s="40" t="str">
        <f t="shared" si="1"/>
        <v>A-306</v>
      </c>
      <c r="G26" s="40"/>
      <c r="H26" s="40"/>
      <c r="I26" s="42"/>
      <c r="J26" s="43"/>
      <c r="K26" s="44"/>
    </row>
    <row r="27" spans="1:11" ht="28.8" x14ac:dyDescent="0.3">
      <c r="A27" s="38">
        <v>16</v>
      </c>
      <c r="B27" s="39">
        <v>150000</v>
      </c>
      <c r="C27" s="40">
        <v>48190</v>
      </c>
      <c r="D27" s="41">
        <v>18290000359221</v>
      </c>
      <c r="E27" s="40" t="str">
        <f t="shared" si="0"/>
        <v>الأهلي المصري</v>
      </c>
      <c r="F27" s="40" t="str">
        <f t="shared" si="1"/>
        <v>A-306</v>
      </c>
      <c r="G27" s="40"/>
      <c r="H27" s="40"/>
      <c r="I27" s="42"/>
      <c r="J27" s="43"/>
      <c r="K27" s="44"/>
    </row>
    <row r="28" spans="1:11" ht="28.8" x14ac:dyDescent="0.3">
      <c r="A28" s="38">
        <v>17</v>
      </c>
      <c r="B28" s="39">
        <v>150000</v>
      </c>
      <c r="C28" s="40">
        <v>48281</v>
      </c>
      <c r="D28" s="41">
        <v>18290000359222</v>
      </c>
      <c r="E28" s="40" t="str">
        <f t="shared" si="0"/>
        <v>الأهلي المصري</v>
      </c>
      <c r="F28" s="40" t="str">
        <f t="shared" si="1"/>
        <v>A-306</v>
      </c>
      <c r="G28" s="40"/>
      <c r="H28" s="40"/>
      <c r="I28" s="42"/>
      <c r="J28" s="43"/>
      <c r="K28" s="44"/>
    </row>
    <row r="29" spans="1:11" ht="28.8" x14ac:dyDescent="0.3">
      <c r="A29" s="38">
        <v>18</v>
      </c>
      <c r="B29" s="39">
        <v>150000</v>
      </c>
      <c r="C29" s="40">
        <v>48373</v>
      </c>
      <c r="D29" s="41">
        <v>18290000359223</v>
      </c>
      <c r="E29" s="40" t="str">
        <f t="shared" si="0"/>
        <v>الأهلي المصري</v>
      </c>
      <c r="F29" s="40" t="str">
        <f t="shared" si="1"/>
        <v>A-306</v>
      </c>
      <c r="G29" s="40"/>
      <c r="H29" s="40"/>
      <c r="I29" s="42"/>
      <c r="J29" s="43"/>
      <c r="K29" s="44"/>
    </row>
    <row r="30" spans="1:11" ht="28.8" x14ac:dyDescent="0.3">
      <c r="A30" s="38">
        <v>19</v>
      </c>
      <c r="B30" s="39">
        <v>234000</v>
      </c>
      <c r="C30" s="40">
        <v>48465</v>
      </c>
      <c r="D30" s="41">
        <v>18290000362282</v>
      </c>
      <c r="E30" s="40" t="str">
        <f t="shared" si="0"/>
        <v>الأهلي المصري</v>
      </c>
      <c r="F30" s="40" t="str">
        <f t="shared" si="1"/>
        <v>A-306</v>
      </c>
      <c r="G30" s="40"/>
      <c r="H30" s="40"/>
      <c r="I30" s="42"/>
      <c r="J30" s="43"/>
      <c r="K30" s="44"/>
    </row>
    <row r="31" spans="1:11" ht="28.8" x14ac:dyDescent="0.3">
      <c r="A31" s="38">
        <v>20</v>
      </c>
      <c r="B31" s="39">
        <v>150000</v>
      </c>
      <c r="C31" s="40">
        <v>48556</v>
      </c>
      <c r="D31" s="41">
        <v>18290000359224</v>
      </c>
      <c r="E31" s="40" t="str">
        <f t="shared" si="0"/>
        <v>الأهلي المصري</v>
      </c>
      <c r="F31" s="40" t="str">
        <f t="shared" si="1"/>
        <v>A-306</v>
      </c>
      <c r="G31" s="40"/>
      <c r="H31" s="40"/>
      <c r="I31" s="42"/>
      <c r="J31" s="43"/>
      <c r="K31" s="44"/>
    </row>
    <row r="32" spans="1:11" ht="28.8" x14ac:dyDescent="0.3">
      <c r="A32" s="38">
        <v>21</v>
      </c>
      <c r="B32" s="39">
        <v>150000</v>
      </c>
      <c r="C32" s="40">
        <v>48646</v>
      </c>
      <c r="D32" s="41">
        <v>18290000359225</v>
      </c>
      <c r="E32" s="40" t="str">
        <f t="shared" si="0"/>
        <v>الأهلي المصري</v>
      </c>
      <c r="F32" s="40" t="str">
        <f t="shared" si="1"/>
        <v>A-306</v>
      </c>
      <c r="G32" s="40"/>
      <c r="H32" s="40"/>
      <c r="I32" s="42"/>
      <c r="J32" s="43"/>
      <c r="K32" s="44"/>
    </row>
    <row r="33" spans="1:11" ht="28.8" x14ac:dyDescent="0.3">
      <c r="A33" s="38">
        <v>22</v>
      </c>
      <c r="B33" s="39">
        <v>150000</v>
      </c>
      <c r="C33" s="40">
        <v>48738</v>
      </c>
      <c r="D33" s="41">
        <v>18290000359226</v>
      </c>
      <c r="E33" s="40" t="str">
        <f t="shared" si="0"/>
        <v>الأهلي المصري</v>
      </c>
      <c r="F33" s="40" t="str">
        <f t="shared" si="1"/>
        <v>A-306</v>
      </c>
      <c r="G33" s="40"/>
      <c r="H33" s="40"/>
      <c r="I33" s="42"/>
      <c r="J33" s="43"/>
      <c r="K33" s="44"/>
    </row>
    <row r="34" spans="1:11" ht="28.8" x14ac:dyDescent="0.3">
      <c r="A34" s="38">
        <v>23</v>
      </c>
      <c r="B34" s="39">
        <v>222891</v>
      </c>
      <c r="C34" s="40">
        <v>48830</v>
      </c>
      <c r="D34" s="41">
        <v>18290000362284</v>
      </c>
      <c r="E34" s="40" t="str">
        <f t="shared" si="0"/>
        <v>الأهلي المصري</v>
      </c>
      <c r="F34" s="40" t="str">
        <f t="shared" si="1"/>
        <v>A-306</v>
      </c>
      <c r="G34" s="40"/>
      <c r="H34" s="40"/>
      <c r="I34" s="42"/>
      <c r="J34" s="43"/>
      <c r="K34" s="44"/>
    </row>
    <row r="35" spans="1:11" ht="21" x14ac:dyDescent="0.3">
      <c r="A35" s="45"/>
      <c r="B35" s="46"/>
      <c r="C35" s="46"/>
      <c r="D35" s="47"/>
      <c r="E35" s="48"/>
      <c r="F35" s="49"/>
      <c r="G35" s="45"/>
      <c r="H35" s="2"/>
      <c r="I35" s="46"/>
      <c r="J35" s="2"/>
      <c r="K35" s="2"/>
    </row>
    <row r="36" spans="1:11" ht="29.4" thickBot="1" x14ac:dyDescent="0.35">
      <c r="A36" s="50"/>
      <c r="B36" s="84">
        <f>SUM(B12:B35)</f>
        <v>4026891</v>
      </c>
      <c r="C36" s="84"/>
      <c r="D36" s="51"/>
      <c r="E36" s="52"/>
      <c r="F36" s="53"/>
      <c r="G36" s="54"/>
      <c r="H36" s="55"/>
      <c r="I36" s="56"/>
      <c r="J36" s="55"/>
      <c r="K36" s="55"/>
    </row>
    <row r="37" spans="1:11" ht="21.6" thickTop="1" x14ac:dyDescent="0.4">
      <c r="A37" s="16"/>
      <c r="D37" s="47"/>
      <c r="E37" s="57"/>
      <c r="F37" s="49"/>
      <c r="I37" s="16"/>
    </row>
    <row r="38" spans="1:11" ht="62.55" customHeight="1" x14ac:dyDescent="0.55000000000000004">
      <c r="A38" s="85" t="s">
        <v>45</v>
      </c>
      <c r="B38" s="85"/>
      <c r="C38" s="85"/>
      <c r="D38" s="85"/>
      <c r="E38" s="85"/>
      <c r="F38" s="85"/>
      <c r="G38" s="59"/>
      <c r="H38" s="59"/>
      <c r="I38" s="58"/>
      <c r="J38" s="59"/>
      <c r="K38" s="59"/>
    </row>
    <row r="39" spans="1:11" ht="55.95" customHeight="1" x14ac:dyDescent="0.3">
      <c r="A39" s="85" t="s">
        <v>46</v>
      </c>
      <c r="B39" s="85"/>
      <c r="C39" s="85"/>
      <c r="D39" s="85"/>
      <c r="E39" s="85"/>
      <c r="F39" s="85"/>
    </row>
  </sheetData>
  <mergeCells count="8">
    <mergeCell ref="B36:C36"/>
    <mergeCell ref="A38:F38"/>
    <mergeCell ref="A39:F39"/>
    <mergeCell ref="A1:I1"/>
    <mergeCell ref="J1:K1"/>
    <mergeCell ref="B3:C3"/>
    <mergeCell ref="D3:E3"/>
    <mergeCell ref="J3:K3"/>
  </mergeCells>
  <pageMargins left="0.7" right="0.7" top="0.75" bottom="0.75" header="0.3" footer="0.3"/>
  <pageSetup paperSize="9"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B4C2-B28D-454E-88C0-B14D301B4EE8}">
  <dimension ref="A1:K51"/>
  <sheetViews>
    <sheetView rightToLeft="1" view="pageBreakPreview" topLeftCell="A36" zoomScale="60" zoomScaleNormal="100" workbookViewId="0">
      <selection activeCell="A50" sqref="A50:F50"/>
    </sheetView>
  </sheetViews>
  <sheetFormatPr defaultRowHeight="14.4" x14ac:dyDescent="0.3"/>
  <cols>
    <col min="1" max="1" width="19.6640625" customWidth="1"/>
    <col min="2" max="2" width="30.77734375" customWidth="1"/>
    <col min="3" max="3" width="19.88671875" bestFit="1" customWidth="1"/>
    <col min="4" max="4" width="28.77734375" customWidth="1"/>
    <col min="5" max="5" width="19" bestFit="1" customWidth="1"/>
    <col min="6" max="6" width="27.33203125" customWidth="1"/>
    <col min="7" max="7" width="19.33203125" hidden="1" customWidth="1"/>
    <col min="8" max="10" width="0" hidden="1" customWidth="1"/>
    <col min="11" max="11" width="20.33203125" hidden="1" customWidth="1"/>
    <col min="12" max="12" width="0" hidden="1" customWidth="1"/>
  </cols>
  <sheetData>
    <row r="1" spans="1:11" ht="37.200000000000003" thickBot="1" x14ac:dyDescent="0.35">
      <c r="A1" s="86" t="s">
        <v>39</v>
      </c>
      <c r="B1" s="86"/>
      <c r="C1" s="86"/>
      <c r="D1" s="86"/>
      <c r="E1" s="86"/>
      <c r="F1" s="86"/>
      <c r="G1" s="86"/>
      <c r="H1" s="86"/>
      <c r="I1" s="86"/>
      <c r="J1" s="87"/>
      <c r="K1" s="88"/>
    </row>
    <row r="2" spans="1:11" ht="21.6" thickTop="1" x14ac:dyDescent="0.4">
      <c r="A2" s="1"/>
      <c r="B2" s="2"/>
      <c r="C2" s="2"/>
      <c r="D2" s="3"/>
      <c r="E2" s="4"/>
      <c r="F2" s="5"/>
      <c r="G2" s="2"/>
      <c r="H2" s="2"/>
      <c r="I2" s="1"/>
      <c r="J2" s="2"/>
      <c r="K2" s="2"/>
    </row>
    <row r="3" spans="1:11" ht="34.200000000000003" thickBot="1" x14ac:dyDescent="0.35">
      <c r="A3" s="6" t="s">
        <v>9</v>
      </c>
      <c r="B3" s="89">
        <v>46307</v>
      </c>
      <c r="C3" s="89"/>
      <c r="D3" s="90" t="s">
        <v>10</v>
      </c>
      <c r="E3" s="91"/>
      <c r="F3" s="7" t="str">
        <f>G9</f>
        <v>A-303</v>
      </c>
      <c r="G3" s="8"/>
      <c r="H3" s="9"/>
      <c r="I3" s="10"/>
      <c r="J3" s="92">
        <f>B48</f>
        <v>4437000</v>
      </c>
      <c r="K3" s="92"/>
    </row>
    <row r="4" spans="1:11" ht="21.6" thickTop="1" x14ac:dyDescent="0.4">
      <c r="A4" s="1"/>
      <c r="B4" s="2"/>
      <c r="C4" s="2"/>
      <c r="D4" s="3"/>
      <c r="E4" s="4"/>
      <c r="F4" s="5"/>
      <c r="G4" s="2"/>
      <c r="H4" s="2"/>
      <c r="I4" s="1"/>
      <c r="J4" s="2"/>
      <c r="K4" s="2"/>
    </row>
    <row r="5" spans="1:11" ht="54" x14ac:dyDescent="0.4">
      <c r="A5" s="20" t="s">
        <v>11</v>
      </c>
      <c r="B5" s="12" t="s">
        <v>38</v>
      </c>
      <c r="C5" s="13"/>
      <c r="D5" s="14"/>
      <c r="E5" s="15"/>
      <c r="F5" s="5"/>
      <c r="G5" s="2"/>
      <c r="I5" s="16"/>
      <c r="J5" s="2"/>
      <c r="K5" s="2"/>
    </row>
    <row r="6" spans="1:11" ht="54" x14ac:dyDescent="0.4">
      <c r="A6" s="20" t="s">
        <v>40</v>
      </c>
      <c r="B6" s="12" t="s">
        <v>41</v>
      </c>
      <c r="C6" s="12"/>
      <c r="D6" s="12"/>
      <c r="E6" s="15"/>
      <c r="F6" s="5"/>
      <c r="G6" s="2"/>
      <c r="H6" s="2"/>
      <c r="I6" s="1"/>
      <c r="J6" s="2"/>
      <c r="K6" s="2"/>
    </row>
    <row r="7" spans="1:11" ht="31.2" x14ac:dyDescent="0.3">
      <c r="A7" s="23" t="s">
        <v>12</v>
      </c>
      <c r="B7" s="23" t="s">
        <v>58</v>
      </c>
      <c r="C7" s="23"/>
      <c r="D7" s="21"/>
      <c r="E7" s="22"/>
      <c r="F7" s="17"/>
      <c r="G7" s="18"/>
      <c r="H7" s="18"/>
      <c r="I7" s="19"/>
      <c r="J7" s="18"/>
      <c r="K7" s="18"/>
    </row>
    <row r="8" spans="1:11" ht="31.8" thickBot="1" x14ac:dyDescent="0.35">
      <c r="A8" s="23"/>
      <c r="B8" s="23" t="s">
        <v>57</v>
      </c>
      <c r="C8" s="23"/>
      <c r="D8" s="21"/>
      <c r="E8" s="24"/>
      <c r="F8" s="25"/>
      <c r="G8" s="26"/>
      <c r="H8" s="27" t="s">
        <v>15</v>
      </c>
      <c r="I8" s="28"/>
      <c r="J8" s="29" t="s">
        <v>28</v>
      </c>
      <c r="K8" s="18"/>
    </row>
    <row r="9" spans="1:11" ht="34.799999999999997" thickTop="1" thickBot="1" x14ac:dyDescent="0.35">
      <c r="A9" s="23" t="s">
        <v>17</v>
      </c>
      <c r="B9" s="23" t="s">
        <v>50</v>
      </c>
      <c r="C9" s="23"/>
      <c r="D9" s="21"/>
      <c r="E9" s="22"/>
      <c r="F9" s="17"/>
      <c r="G9" s="30" t="s">
        <v>29</v>
      </c>
      <c r="H9" s="31" t="s">
        <v>19</v>
      </c>
      <c r="I9" s="26"/>
      <c r="J9" s="18"/>
      <c r="K9" s="18"/>
    </row>
    <row r="10" spans="1:11" ht="26.55" customHeight="1" thickTop="1" thickBot="1" x14ac:dyDescent="0.35">
      <c r="A10" s="23" t="s">
        <v>55</v>
      </c>
      <c r="B10" s="23" t="s">
        <v>56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21.6" thickTop="1" x14ac:dyDescent="0.3">
      <c r="A11" s="60" t="s">
        <v>42</v>
      </c>
      <c r="B11" s="60" t="s">
        <v>20</v>
      </c>
      <c r="C11" s="61" t="s">
        <v>9</v>
      </c>
      <c r="D11" s="62" t="s">
        <v>21</v>
      </c>
      <c r="E11" s="63" t="s">
        <v>22</v>
      </c>
      <c r="F11" s="64" t="s">
        <v>43</v>
      </c>
      <c r="G11" s="63" t="s">
        <v>22</v>
      </c>
      <c r="H11" s="65" t="s">
        <v>23</v>
      </c>
      <c r="I11" s="66" t="s">
        <v>24</v>
      </c>
      <c r="J11" s="67"/>
      <c r="K11" s="68"/>
    </row>
    <row r="12" spans="1:11" ht="25.8" x14ac:dyDescent="0.3">
      <c r="A12" s="70">
        <v>1</v>
      </c>
      <c r="B12" s="78">
        <v>127000</v>
      </c>
      <c r="C12" s="72">
        <v>46640</v>
      </c>
      <c r="D12" s="73">
        <v>9817000087004</v>
      </c>
      <c r="E12" s="72" t="str">
        <f t="shared" ref="E12:G46" si="0">$J$8</f>
        <v>الاهلي المصري</v>
      </c>
      <c r="F12" s="72" t="str">
        <f t="shared" ref="F12:H46" si="1">$G$9</f>
        <v>A-303</v>
      </c>
      <c r="G12" s="72" t="str">
        <f t="shared" si="0"/>
        <v>الاهلي المصري</v>
      </c>
      <c r="H12" s="72" t="str">
        <f t="shared" si="1"/>
        <v>A-303</v>
      </c>
      <c r="I12" s="74"/>
      <c r="J12" s="75"/>
      <c r="K12" s="76"/>
    </row>
    <row r="13" spans="1:11" ht="25.8" x14ac:dyDescent="0.3">
      <c r="A13" s="70">
        <v>2</v>
      </c>
      <c r="B13" s="78">
        <v>127000</v>
      </c>
      <c r="C13" s="72">
        <v>46731</v>
      </c>
      <c r="D13" s="73">
        <v>9817000087005</v>
      </c>
      <c r="E13" s="72" t="str">
        <f t="shared" si="0"/>
        <v>الاهلي المصري</v>
      </c>
      <c r="F13" s="72" t="str">
        <f t="shared" si="1"/>
        <v>A-303</v>
      </c>
      <c r="G13" s="72" t="str">
        <f t="shared" si="0"/>
        <v>الاهلي المصري</v>
      </c>
      <c r="H13" s="72" t="str">
        <f t="shared" si="1"/>
        <v>A-303</v>
      </c>
      <c r="I13" s="74"/>
      <c r="J13" s="75"/>
      <c r="K13" s="76"/>
    </row>
    <row r="14" spans="1:11" ht="25.8" x14ac:dyDescent="0.3">
      <c r="A14" s="70">
        <v>3</v>
      </c>
      <c r="B14" s="78">
        <v>127000</v>
      </c>
      <c r="C14" s="72">
        <v>47006</v>
      </c>
      <c r="D14" s="73">
        <v>9817000087008</v>
      </c>
      <c r="E14" s="72" t="str">
        <f t="shared" si="0"/>
        <v>الاهلي المصري</v>
      </c>
      <c r="F14" s="72" t="str">
        <f t="shared" si="1"/>
        <v>A-303</v>
      </c>
      <c r="G14" s="72" t="str">
        <f t="shared" si="0"/>
        <v>الاهلي المصري</v>
      </c>
      <c r="H14" s="72" t="str">
        <f t="shared" si="1"/>
        <v>A-303</v>
      </c>
      <c r="I14" s="74"/>
      <c r="J14" s="75"/>
      <c r="K14" s="76"/>
    </row>
    <row r="15" spans="1:11" ht="25.8" x14ac:dyDescent="0.3">
      <c r="A15" s="70">
        <v>4</v>
      </c>
      <c r="B15" s="78">
        <v>127000</v>
      </c>
      <c r="C15" s="72">
        <v>47097</v>
      </c>
      <c r="D15" s="73">
        <v>9817000087009</v>
      </c>
      <c r="E15" s="72" t="str">
        <f t="shared" si="0"/>
        <v>الاهلي المصري</v>
      </c>
      <c r="F15" s="72" t="str">
        <f t="shared" si="1"/>
        <v>A-303</v>
      </c>
      <c r="G15" s="72" t="str">
        <f t="shared" si="0"/>
        <v>الاهلي المصري</v>
      </c>
      <c r="H15" s="72" t="str">
        <f t="shared" si="1"/>
        <v>A-303</v>
      </c>
      <c r="I15" s="74"/>
      <c r="J15" s="75"/>
      <c r="K15" s="76"/>
    </row>
    <row r="16" spans="1:11" ht="25.8" x14ac:dyDescent="0.3">
      <c r="A16" s="70">
        <v>5</v>
      </c>
      <c r="B16" s="78">
        <v>127000</v>
      </c>
      <c r="C16" s="72">
        <v>47187</v>
      </c>
      <c r="D16" s="73">
        <v>9817000087010</v>
      </c>
      <c r="E16" s="72" t="str">
        <f t="shared" si="0"/>
        <v>الاهلي المصري</v>
      </c>
      <c r="F16" s="72" t="str">
        <f t="shared" si="1"/>
        <v>A-303</v>
      </c>
      <c r="G16" s="72" t="str">
        <f t="shared" si="0"/>
        <v>الاهلي المصري</v>
      </c>
      <c r="H16" s="72" t="str">
        <f t="shared" si="1"/>
        <v>A-303</v>
      </c>
      <c r="I16" s="74"/>
      <c r="J16" s="75"/>
      <c r="K16" s="76"/>
    </row>
    <row r="17" spans="1:11" ht="25.8" x14ac:dyDescent="0.3">
      <c r="A17" s="70">
        <v>6</v>
      </c>
      <c r="B17" s="78">
        <v>127000</v>
      </c>
      <c r="C17" s="72">
        <v>47279</v>
      </c>
      <c r="D17" s="73">
        <v>9817000087011</v>
      </c>
      <c r="E17" s="72" t="str">
        <f t="shared" si="0"/>
        <v>الاهلي المصري</v>
      </c>
      <c r="F17" s="72" t="str">
        <f t="shared" si="1"/>
        <v>A-303</v>
      </c>
      <c r="G17" s="72" t="str">
        <f t="shared" si="0"/>
        <v>الاهلي المصري</v>
      </c>
      <c r="H17" s="72" t="str">
        <f t="shared" si="1"/>
        <v>A-303</v>
      </c>
      <c r="I17" s="74"/>
      <c r="J17" s="75"/>
      <c r="K17" s="76"/>
    </row>
    <row r="18" spans="1:11" ht="25.8" x14ac:dyDescent="0.3">
      <c r="A18" s="70">
        <v>7</v>
      </c>
      <c r="B18" s="78">
        <v>127000</v>
      </c>
      <c r="C18" s="72">
        <v>47371</v>
      </c>
      <c r="D18" s="73">
        <v>9817000087012</v>
      </c>
      <c r="E18" s="72" t="str">
        <f t="shared" si="0"/>
        <v>الاهلي المصري</v>
      </c>
      <c r="F18" s="72" t="str">
        <f t="shared" si="1"/>
        <v>A-303</v>
      </c>
      <c r="G18" s="72" t="str">
        <f t="shared" si="0"/>
        <v>الاهلي المصري</v>
      </c>
      <c r="H18" s="72" t="str">
        <f t="shared" si="1"/>
        <v>A-303</v>
      </c>
      <c r="I18" s="74"/>
      <c r="J18" s="75"/>
      <c r="K18" s="76"/>
    </row>
    <row r="19" spans="1:11" ht="25.8" x14ac:dyDescent="0.3">
      <c r="A19" s="70">
        <v>8</v>
      </c>
      <c r="B19" s="78">
        <v>127000</v>
      </c>
      <c r="C19" s="72">
        <v>47462</v>
      </c>
      <c r="D19" s="73">
        <v>9817000087013</v>
      </c>
      <c r="E19" s="72" t="str">
        <f t="shared" si="0"/>
        <v>الاهلي المصري</v>
      </c>
      <c r="F19" s="72" t="str">
        <f t="shared" si="1"/>
        <v>A-303</v>
      </c>
      <c r="G19" s="72" t="str">
        <f t="shared" si="0"/>
        <v>الاهلي المصري</v>
      </c>
      <c r="H19" s="72" t="str">
        <f t="shared" si="1"/>
        <v>A-303</v>
      </c>
      <c r="I19" s="74"/>
      <c r="J19" s="75"/>
      <c r="K19" s="76"/>
    </row>
    <row r="20" spans="1:11" ht="25.8" x14ac:dyDescent="0.3">
      <c r="A20" s="70">
        <v>9</v>
      </c>
      <c r="B20" s="78">
        <v>127000</v>
      </c>
      <c r="C20" s="72">
        <v>47552</v>
      </c>
      <c r="D20" s="73">
        <v>9817000087014</v>
      </c>
      <c r="E20" s="72" t="str">
        <f t="shared" si="0"/>
        <v>الاهلي المصري</v>
      </c>
      <c r="F20" s="72" t="str">
        <f t="shared" si="1"/>
        <v>A-303</v>
      </c>
      <c r="G20" s="72" t="str">
        <f t="shared" si="0"/>
        <v>الاهلي المصري</v>
      </c>
      <c r="H20" s="72" t="str">
        <f t="shared" si="1"/>
        <v>A-303</v>
      </c>
      <c r="I20" s="74"/>
      <c r="J20" s="75"/>
      <c r="K20" s="76"/>
    </row>
    <row r="21" spans="1:11" ht="25.8" x14ac:dyDescent="0.3">
      <c r="A21" s="70">
        <v>10</v>
      </c>
      <c r="B21" s="78">
        <v>127000</v>
      </c>
      <c r="C21" s="72">
        <v>47644</v>
      </c>
      <c r="D21" s="73">
        <v>9817000087015</v>
      </c>
      <c r="E21" s="72" t="str">
        <f t="shared" si="0"/>
        <v>الاهلي المصري</v>
      </c>
      <c r="F21" s="72" t="str">
        <f t="shared" si="1"/>
        <v>A-303</v>
      </c>
      <c r="G21" s="72" t="str">
        <f t="shared" si="0"/>
        <v>الاهلي المصري</v>
      </c>
      <c r="H21" s="72" t="str">
        <f t="shared" si="1"/>
        <v>A-303</v>
      </c>
      <c r="I21" s="74"/>
      <c r="J21" s="75"/>
      <c r="K21" s="76"/>
    </row>
    <row r="22" spans="1:11" ht="25.8" x14ac:dyDescent="0.3">
      <c r="A22" s="70">
        <v>11</v>
      </c>
      <c r="B22" s="78">
        <v>127000</v>
      </c>
      <c r="C22" s="72">
        <v>47736</v>
      </c>
      <c r="D22" s="73">
        <v>9817000087016</v>
      </c>
      <c r="E22" s="72" t="str">
        <f t="shared" si="0"/>
        <v>الاهلي المصري</v>
      </c>
      <c r="F22" s="72" t="str">
        <f t="shared" si="1"/>
        <v>A-303</v>
      </c>
      <c r="G22" s="72" t="str">
        <f t="shared" si="0"/>
        <v>الاهلي المصري</v>
      </c>
      <c r="H22" s="72" t="str">
        <f t="shared" si="1"/>
        <v>A-303</v>
      </c>
      <c r="I22" s="74"/>
      <c r="J22" s="75"/>
      <c r="K22" s="76"/>
    </row>
    <row r="23" spans="1:11" ht="25.8" x14ac:dyDescent="0.3">
      <c r="A23" s="70">
        <v>12</v>
      </c>
      <c r="B23" s="78">
        <v>127000</v>
      </c>
      <c r="C23" s="72">
        <v>47827</v>
      </c>
      <c r="D23" s="73">
        <v>9817000087017</v>
      </c>
      <c r="E23" s="72" t="str">
        <f t="shared" si="0"/>
        <v>الاهلي المصري</v>
      </c>
      <c r="F23" s="72" t="str">
        <f t="shared" si="1"/>
        <v>A-303</v>
      </c>
      <c r="G23" s="72" t="str">
        <f t="shared" si="0"/>
        <v>الاهلي المصري</v>
      </c>
      <c r="H23" s="72" t="str">
        <f t="shared" si="1"/>
        <v>A-303</v>
      </c>
      <c r="I23" s="74"/>
      <c r="J23" s="75"/>
      <c r="K23" s="76"/>
    </row>
    <row r="24" spans="1:11" ht="25.8" x14ac:dyDescent="0.3">
      <c r="A24" s="70">
        <v>13</v>
      </c>
      <c r="B24" s="78">
        <v>127000</v>
      </c>
      <c r="C24" s="72">
        <v>47917</v>
      </c>
      <c r="D24" s="73">
        <v>9817000087018</v>
      </c>
      <c r="E24" s="72" t="str">
        <f t="shared" si="0"/>
        <v>الاهلي المصري</v>
      </c>
      <c r="F24" s="72" t="str">
        <f t="shared" si="1"/>
        <v>A-303</v>
      </c>
      <c r="G24" s="72" t="str">
        <f t="shared" si="0"/>
        <v>الاهلي المصري</v>
      </c>
      <c r="H24" s="72" t="str">
        <f t="shared" si="1"/>
        <v>A-303</v>
      </c>
      <c r="I24" s="74"/>
      <c r="J24" s="75"/>
      <c r="K24" s="76"/>
    </row>
    <row r="25" spans="1:11" ht="25.8" x14ac:dyDescent="0.3">
      <c r="A25" s="70">
        <v>14</v>
      </c>
      <c r="B25" s="78">
        <v>127000</v>
      </c>
      <c r="C25" s="72">
        <v>48009</v>
      </c>
      <c r="D25" s="73">
        <v>9817000087019</v>
      </c>
      <c r="E25" s="72" t="str">
        <f t="shared" si="0"/>
        <v>الاهلي المصري</v>
      </c>
      <c r="F25" s="72" t="str">
        <f t="shared" si="1"/>
        <v>A-303</v>
      </c>
      <c r="G25" s="72" t="str">
        <f t="shared" si="0"/>
        <v>الاهلي المصري</v>
      </c>
      <c r="H25" s="72" t="str">
        <f t="shared" si="1"/>
        <v>A-303</v>
      </c>
      <c r="I25" s="74"/>
      <c r="J25" s="75"/>
      <c r="K25" s="76"/>
    </row>
    <row r="26" spans="1:11" ht="25.8" x14ac:dyDescent="0.3">
      <c r="A26" s="70">
        <v>15</v>
      </c>
      <c r="B26" s="78">
        <v>127000</v>
      </c>
      <c r="C26" s="72">
        <v>48101</v>
      </c>
      <c r="D26" s="73">
        <v>9817000087020</v>
      </c>
      <c r="E26" s="72" t="str">
        <f t="shared" si="0"/>
        <v>الاهلي المصري</v>
      </c>
      <c r="F26" s="72" t="str">
        <f t="shared" si="1"/>
        <v>A-303</v>
      </c>
      <c r="G26" s="72" t="str">
        <f t="shared" si="0"/>
        <v>الاهلي المصري</v>
      </c>
      <c r="H26" s="72" t="str">
        <f t="shared" si="1"/>
        <v>A-303</v>
      </c>
      <c r="I26" s="74"/>
      <c r="J26" s="75"/>
      <c r="K26" s="76"/>
    </row>
    <row r="27" spans="1:11" ht="25.8" x14ac:dyDescent="0.3">
      <c r="A27" s="70">
        <v>16</v>
      </c>
      <c r="B27" s="78">
        <v>127000</v>
      </c>
      <c r="C27" s="72">
        <v>48192</v>
      </c>
      <c r="D27" s="73">
        <v>9817000087021</v>
      </c>
      <c r="E27" s="72" t="str">
        <f t="shared" si="0"/>
        <v>الاهلي المصري</v>
      </c>
      <c r="F27" s="72" t="str">
        <f t="shared" si="1"/>
        <v>A-303</v>
      </c>
      <c r="G27" s="72" t="str">
        <f t="shared" si="0"/>
        <v>الاهلي المصري</v>
      </c>
      <c r="H27" s="72" t="str">
        <f t="shared" si="1"/>
        <v>A-303</v>
      </c>
      <c r="I27" s="74"/>
      <c r="J27" s="75"/>
      <c r="K27" s="76"/>
    </row>
    <row r="28" spans="1:11" ht="25.8" x14ac:dyDescent="0.3">
      <c r="A28" s="70">
        <v>17</v>
      </c>
      <c r="B28" s="78">
        <v>127000</v>
      </c>
      <c r="C28" s="72">
        <v>48283</v>
      </c>
      <c r="D28" s="73">
        <v>9817000087022</v>
      </c>
      <c r="E28" s="72" t="str">
        <f t="shared" si="0"/>
        <v>الاهلي المصري</v>
      </c>
      <c r="F28" s="72" t="str">
        <f t="shared" si="1"/>
        <v>A-303</v>
      </c>
      <c r="G28" s="72" t="str">
        <f t="shared" si="0"/>
        <v>الاهلي المصري</v>
      </c>
      <c r="H28" s="72" t="str">
        <f t="shared" si="1"/>
        <v>A-303</v>
      </c>
      <c r="I28" s="74"/>
      <c r="J28" s="75"/>
      <c r="K28" s="76"/>
    </row>
    <row r="29" spans="1:11" ht="25.8" x14ac:dyDescent="0.3">
      <c r="A29" s="70">
        <v>18</v>
      </c>
      <c r="B29" s="78">
        <v>127000</v>
      </c>
      <c r="C29" s="72">
        <v>48375</v>
      </c>
      <c r="D29" s="73">
        <v>9817000087023</v>
      </c>
      <c r="E29" s="72" t="str">
        <f t="shared" si="0"/>
        <v>الاهلي المصري</v>
      </c>
      <c r="F29" s="72" t="str">
        <f t="shared" si="1"/>
        <v>A-303</v>
      </c>
      <c r="G29" s="72" t="str">
        <f t="shared" si="0"/>
        <v>الاهلي المصري</v>
      </c>
      <c r="H29" s="72" t="str">
        <f t="shared" si="1"/>
        <v>A-303</v>
      </c>
      <c r="I29" s="74"/>
      <c r="J29" s="75"/>
      <c r="K29" s="76"/>
    </row>
    <row r="30" spans="1:11" ht="25.8" x14ac:dyDescent="0.3">
      <c r="A30" s="70">
        <v>19</v>
      </c>
      <c r="B30" s="78">
        <v>127000</v>
      </c>
      <c r="C30" s="72">
        <v>48467</v>
      </c>
      <c r="D30" s="73">
        <v>9817000087024</v>
      </c>
      <c r="E30" s="72" t="str">
        <f t="shared" si="0"/>
        <v>الاهلي المصري</v>
      </c>
      <c r="F30" s="72" t="str">
        <f t="shared" si="1"/>
        <v>A-303</v>
      </c>
      <c r="G30" s="72" t="str">
        <f t="shared" si="0"/>
        <v>الاهلي المصري</v>
      </c>
      <c r="H30" s="72" t="str">
        <f t="shared" si="1"/>
        <v>A-303</v>
      </c>
      <c r="I30" s="74"/>
      <c r="J30" s="75"/>
      <c r="K30" s="76"/>
    </row>
    <row r="31" spans="1:11" ht="25.8" x14ac:dyDescent="0.3">
      <c r="A31" s="70">
        <v>20</v>
      </c>
      <c r="B31" s="78">
        <v>127000</v>
      </c>
      <c r="C31" s="72">
        <v>48558</v>
      </c>
      <c r="D31" s="73">
        <v>9817000087025</v>
      </c>
      <c r="E31" s="72" t="str">
        <f t="shared" si="0"/>
        <v>الاهلي المصري</v>
      </c>
      <c r="F31" s="72" t="str">
        <f t="shared" si="1"/>
        <v>A-303</v>
      </c>
      <c r="G31" s="72" t="str">
        <f t="shared" si="0"/>
        <v>الاهلي المصري</v>
      </c>
      <c r="H31" s="72" t="str">
        <f t="shared" si="1"/>
        <v>A-303</v>
      </c>
      <c r="I31" s="74"/>
      <c r="J31" s="75"/>
      <c r="K31" s="76"/>
    </row>
    <row r="32" spans="1:11" ht="25.8" x14ac:dyDescent="0.3">
      <c r="A32" s="70">
        <v>21</v>
      </c>
      <c r="B32" s="78">
        <v>127000</v>
      </c>
      <c r="C32" s="72">
        <v>48648</v>
      </c>
      <c r="D32" s="73">
        <v>9817000087026</v>
      </c>
      <c r="E32" s="72" t="str">
        <f t="shared" si="0"/>
        <v>الاهلي المصري</v>
      </c>
      <c r="F32" s="72" t="str">
        <f t="shared" si="1"/>
        <v>A-303</v>
      </c>
      <c r="G32" s="72" t="str">
        <f t="shared" si="0"/>
        <v>الاهلي المصري</v>
      </c>
      <c r="H32" s="72" t="str">
        <f t="shared" si="1"/>
        <v>A-303</v>
      </c>
      <c r="I32" s="74"/>
      <c r="J32" s="75"/>
      <c r="K32" s="76"/>
    </row>
    <row r="33" spans="1:11" ht="25.8" x14ac:dyDescent="0.3">
      <c r="A33" s="70">
        <v>22</v>
      </c>
      <c r="B33" s="78">
        <v>127000</v>
      </c>
      <c r="C33" s="72">
        <v>48740</v>
      </c>
      <c r="D33" s="73">
        <v>9817000087027</v>
      </c>
      <c r="E33" s="72" t="str">
        <f t="shared" si="0"/>
        <v>الاهلي المصري</v>
      </c>
      <c r="F33" s="72" t="str">
        <f t="shared" si="1"/>
        <v>A-303</v>
      </c>
      <c r="G33" s="72" t="str">
        <f t="shared" si="0"/>
        <v>الاهلي المصري</v>
      </c>
      <c r="H33" s="72" t="str">
        <f t="shared" si="1"/>
        <v>A-303</v>
      </c>
      <c r="I33" s="74"/>
      <c r="J33" s="75"/>
      <c r="K33" s="76"/>
    </row>
    <row r="34" spans="1:11" ht="25.8" x14ac:dyDescent="0.3">
      <c r="A34" s="70">
        <v>23</v>
      </c>
      <c r="B34" s="78">
        <v>127000</v>
      </c>
      <c r="C34" s="72">
        <v>48832</v>
      </c>
      <c r="D34" s="73">
        <v>9817000087028</v>
      </c>
      <c r="E34" s="72" t="str">
        <f t="shared" si="0"/>
        <v>الاهلي المصري</v>
      </c>
      <c r="F34" s="72" t="str">
        <f t="shared" si="1"/>
        <v>A-303</v>
      </c>
      <c r="G34" s="72" t="str">
        <f t="shared" si="0"/>
        <v>الاهلي المصري</v>
      </c>
      <c r="H34" s="72" t="str">
        <f t="shared" si="1"/>
        <v>A-303</v>
      </c>
      <c r="I34" s="74"/>
      <c r="J34" s="75"/>
      <c r="K34" s="76"/>
    </row>
    <row r="35" spans="1:11" ht="25.8" x14ac:dyDescent="0.3">
      <c r="A35" s="70">
        <v>24</v>
      </c>
      <c r="B35" s="78">
        <v>127000</v>
      </c>
      <c r="C35" s="72">
        <v>48923</v>
      </c>
      <c r="D35" s="73">
        <v>9817000087029</v>
      </c>
      <c r="E35" s="72" t="str">
        <f t="shared" si="0"/>
        <v>الاهلي المصري</v>
      </c>
      <c r="F35" s="72" t="str">
        <f t="shared" si="1"/>
        <v>A-303</v>
      </c>
      <c r="G35" s="72" t="str">
        <f t="shared" si="0"/>
        <v>الاهلي المصري</v>
      </c>
      <c r="H35" s="72" t="str">
        <f t="shared" si="1"/>
        <v>A-303</v>
      </c>
      <c r="I35" s="74"/>
      <c r="J35" s="75"/>
      <c r="K35" s="76"/>
    </row>
    <row r="36" spans="1:11" ht="25.8" x14ac:dyDescent="0.3">
      <c r="A36" s="70">
        <v>25</v>
      </c>
      <c r="B36" s="78">
        <v>127000</v>
      </c>
      <c r="C36" s="72">
        <v>49013</v>
      </c>
      <c r="D36" s="73">
        <v>9817000087030</v>
      </c>
      <c r="E36" s="72" t="str">
        <f t="shared" si="0"/>
        <v>الاهلي المصري</v>
      </c>
      <c r="F36" s="72" t="str">
        <f t="shared" si="1"/>
        <v>A-303</v>
      </c>
      <c r="G36" s="72" t="str">
        <f t="shared" si="0"/>
        <v>الاهلي المصري</v>
      </c>
      <c r="H36" s="72" t="str">
        <f t="shared" si="1"/>
        <v>A-303</v>
      </c>
      <c r="I36" s="74"/>
      <c r="J36" s="75"/>
      <c r="K36" s="76"/>
    </row>
    <row r="37" spans="1:11" ht="25.8" x14ac:dyDescent="0.3">
      <c r="A37" s="70">
        <v>26</v>
      </c>
      <c r="B37" s="78">
        <v>127000</v>
      </c>
      <c r="C37" s="72">
        <v>49105</v>
      </c>
      <c r="D37" s="73">
        <v>9817000087031</v>
      </c>
      <c r="E37" s="72" t="str">
        <f t="shared" si="0"/>
        <v>الاهلي المصري</v>
      </c>
      <c r="F37" s="72" t="str">
        <f t="shared" si="1"/>
        <v>A-303</v>
      </c>
      <c r="G37" s="72" t="str">
        <f t="shared" si="0"/>
        <v>الاهلي المصري</v>
      </c>
      <c r="H37" s="72" t="str">
        <f t="shared" si="1"/>
        <v>A-303</v>
      </c>
      <c r="I37" s="74"/>
      <c r="J37" s="75"/>
      <c r="K37" s="76"/>
    </row>
    <row r="38" spans="1:11" ht="25.8" x14ac:dyDescent="0.3">
      <c r="A38" s="70">
        <v>27</v>
      </c>
      <c r="B38" s="78">
        <v>127000</v>
      </c>
      <c r="C38" s="72">
        <v>49197</v>
      </c>
      <c r="D38" s="73">
        <v>9817000087032</v>
      </c>
      <c r="E38" s="72" t="str">
        <f t="shared" si="0"/>
        <v>الاهلي المصري</v>
      </c>
      <c r="F38" s="72" t="str">
        <f t="shared" si="1"/>
        <v>A-303</v>
      </c>
      <c r="G38" s="72" t="str">
        <f t="shared" si="0"/>
        <v>الاهلي المصري</v>
      </c>
      <c r="H38" s="72" t="str">
        <f t="shared" si="1"/>
        <v>A-303</v>
      </c>
      <c r="I38" s="74"/>
      <c r="J38" s="75"/>
      <c r="K38" s="76"/>
    </row>
    <row r="39" spans="1:11" ht="25.8" x14ac:dyDescent="0.3">
      <c r="A39" s="70">
        <v>28</v>
      </c>
      <c r="B39" s="78">
        <v>127000</v>
      </c>
      <c r="C39" s="72">
        <v>49288</v>
      </c>
      <c r="D39" s="73">
        <v>9817000087033</v>
      </c>
      <c r="E39" s="72" t="str">
        <f t="shared" si="0"/>
        <v>الاهلي المصري</v>
      </c>
      <c r="F39" s="72" t="str">
        <f t="shared" si="1"/>
        <v>A-303</v>
      </c>
      <c r="G39" s="72" t="str">
        <f t="shared" si="0"/>
        <v>الاهلي المصري</v>
      </c>
      <c r="H39" s="72" t="str">
        <f t="shared" si="1"/>
        <v>A-303</v>
      </c>
      <c r="I39" s="74"/>
      <c r="J39" s="75"/>
      <c r="K39" s="76"/>
    </row>
    <row r="40" spans="1:11" ht="25.8" x14ac:dyDescent="0.3">
      <c r="A40" s="70">
        <v>29</v>
      </c>
      <c r="B40" s="78">
        <v>127000</v>
      </c>
      <c r="C40" s="72">
        <v>49378</v>
      </c>
      <c r="D40" s="73">
        <v>9817000087034</v>
      </c>
      <c r="E40" s="72" t="str">
        <f t="shared" si="0"/>
        <v>الاهلي المصري</v>
      </c>
      <c r="F40" s="72" t="str">
        <f t="shared" si="1"/>
        <v>A-303</v>
      </c>
      <c r="G40" s="72" t="str">
        <f t="shared" si="0"/>
        <v>الاهلي المصري</v>
      </c>
      <c r="H40" s="72" t="str">
        <f t="shared" si="1"/>
        <v>A-303</v>
      </c>
      <c r="I40" s="74"/>
      <c r="J40" s="75"/>
      <c r="K40" s="76"/>
    </row>
    <row r="41" spans="1:11" ht="25.8" x14ac:dyDescent="0.3">
      <c r="A41" s="70">
        <v>30</v>
      </c>
      <c r="B41" s="78">
        <v>127000</v>
      </c>
      <c r="C41" s="72">
        <v>49470</v>
      </c>
      <c r="D41" s="73">
        <v>9817000087035</v>
      </c>
      <c r="E41" s="72" t="str">
        <f t="shared" si="0"/>
        <v>الاهلي المصري</v>
      </c>
      <c r="F41" s="72" t="str">
        <f t="shared" si="1"/>
        <v>A-303</v>
      </c>
      <c r="G41" s="72" t="str">
        <f t="shared" si="0"/>
        <v>الاهلي المصري</v>
      </c>
      <c r="H41" s="72" t="str">
        <f t="shared" si="1"/>
        <v>A-303</v>
      </c>
      <c r="I41" s="74"/>
      <c r="J41" s="75"/>
      <c r="K41" s="76"/>
    </row>
    <row r="42" spans="1:11" ht="25.8" x14ac:dyDescent="0.3">
      <c r="A42" s="70">
        <v>31</v>
      </c>
      <c r="B42" s="78">
        <v>127000</v>
      </c>
      <c r="C42" s="72">
        <v>49562</v>
      </c>
      <c r="D42" s="73">
        <v>9817000087036</v>
      </c>
      <c r="E42" s="72" t="str">
        <f t="shared" si="0"/>
        <v>الاهلي المصري</v>
      </c>
      <c r="F42" s="72" t="str">
        <f t="shared" si="1"/>
        <v>A-303</v>
      </c>
      <c r="G42" s="72" t="str">
        <f t="shared" si="0"/>
        <v>الاهلي المصري</v>
      </c>
      <c r="H42" s="72" t="str">
        <f t="shared" si="1"/>
        <v>A-303</v>
      </c>
      <c r="I42" s="74"/>
      <c r="J42" s="75"/>
      <c r="K42" s="76"/>
    </row>
    <row r="43" spans="1:11" ht="25.8" x14ac:dyDescent="0.3">
      <c r="A43" s="70">
        <v>32</v>
      </c>
      <c r="B43" s="78">
        <v>127000</v>
      </c>
      <c r="C43" s="72">
        <v>49653</v>
      </c>
      <c r="D43" s="73">
        <v>9817000087037</v>
      </c>
      <c r="E43" s="72" t="str">
        <f t="shared" si="0"/>
        <v>الاهلي المصري</v>
      </c>
      <c r="F43" s="72" t="str">
        <f t="shared" si="1"/>
        <v>A-303</v>
      </c>
      <c r="G43" s="72" t="str">
        <f t="shared" si="0"/>
        <v>الاهلي المصري</v>
      </c>
      <c r="H43" s="72" t="str">
        <f t="shared" si="1"/>
        <v>A-303</v>
      </c>
      <c r="I43" s="74"/>
      <c r="J43" s="75"/>
      <c r="K43" s="76"/>
    </row>
    <row r="44" spans="1:11" ht="25.8" x14ac:dyDescent="0.3">
      <c r="A44" s="70">
        <v>33</v>
      </c>
      <c r="B44" s="78">
        <v>127000</v>
      </c>
      <c r="C44" s="72">
        <v>49744</v>
      </c>
      <c r="D44" s="73">
        <v>9817000087038</v>
      </c>
      <c r="E44" s="72" t="str">
        <f t="shared" si="0"/>
        <v>الاهلي المصري</v>
      </c>
      <c r="F44" s="72" t="str">
        <f t="shared" si="1"/>
        <v>A-303</v>
      </c>
      <c r="G44" s="72" t="str">
        <f t="shared" si="0"/>
        <v>الاهلي المصري</v>
      </c>
      <c r="H44" s="72" t="str">
        <f t="shared" si="1"/>
        <v>A-303</v>
      </c>
      <c r="I44" s="74"/>
      <c r="J44" s="75"/>
      <c r="K44" s="76"/>
    </row>
    <row r="45" spans="1:11" ht="25.8" x14ac:dyDescent="0.3">
      <c r="A45" s="70">
        <v>34</v>
      </c>
      <c r="B45" s="78">
        <v>127000</v>
      </c>
      <c r="C45" s="72">
        <v>49836</v>
      </c>
      <c r="D45" s="73">
        <v>9817000087039</v>
      </c>
      <c r="E45" s="72" t="str">
        <f t="shared" si="0"/>
        <v>الاهلي المصري</v>
      </c>
      <c r="F45" s="72" t="str">
        <f t="shared" si="1"/>
        <v>A-303</v>
      </c>
      <c r="G45" s="72" t="str">
        <f t="shared" si="0"/>
        <v>الاهلي المصري</v>
      </c>
      <c r="H45" s="72" t="str">
        <f t="shared" si="1"/>
        <v>A-303</v>
      </c>
      <c r="I45" s="74"/>
      <c r="J45" s="75"/>
      <c r="K45" s="76"/>
    </row>
    <row r="46" spans="1:11" ht="25.8" x14ac:dyDescent="0.3">
      <c r="A46" s="70">
        <v>35</v>
      </c>
      <c r="B46" s="78">
        <v>119000</v>
      </c>
      <c r="C46" s="72">
        <v>49928</v>
      </c>
      <c r="D46" s="73">
        <v>9817000087040</v>
      </c>
      <c r="E46" s="72" t="str">
        <f t="shared" si="0"/>
        <v>الاهلي المصري</v>
      </c>
      <c r="F46" s="72" t="str">
        <f t="shared" si="1"/>
        <v>A-303</v>
      </c>
      <c r="G46" s="72" t="str">
        <f t="shared" si="0"/>
        <v>الاهلي المصري</v>
      </c>
      <c r="H46" s="72" t="str">
        <f t="shared" si="1"/>
        <v>A-303</v>
      </c>
      <c r="I46" s="74"/>
      <c r="J46" s="75"/>
      <c r="K46" s="76"/>
    </row>
    <row r="47" spans="1:11" ht="25.8" x14ac:dyDescent="0.3">
      <c r="A47" s="45"/>
      <c r="B47" s="46"/>
      <c r="C47" s="46"/>
      <c r="D47" s="47"/>
      <c r="E47" s="48"/>
      <c r="F47" s="73"/>
      <c r="G47" s="45"/>
      <c r="H47" s="2"/>
      <c r="I47" s="46"/>
      <c r="J47" s="2"/>
      <c r="K47" s="2"/>
    </row>
    <row r="48" spans="1:11" ht="29.4" thickBot="1" x14ac:dyDescent="0.35">
      <c r="A48" s="50"/>
      <c r="B48" s="84">
        <f>SUM(B12:B47)</f>
        <v>4437000</v>
      </c>
      <c r="C48" s="84"/>
      <c r="D48" s="51"/>
      <c r="E48" s="52"/>
      <c r="F48" s="77"/>
      <c r="G48" s="54"/>
      <c r="H48" s="55"/>
      <c r="I48" s="56"/>
      <c r="J48" s="55"/>
      <c r="K48" s="55"/>
    </row>
    <row r="49" spans="1:11" ht="21.6" thickTop="1" x14ac:dyDescent="0.4">
      <c r="A49" s="16"/>
      <c r="D49" s="47"/>
      <c r="E49" s="57"/>
      <c r="F49" s="49"/>
      <c r="I49" s="16"/>
    </row>
    <row r="50" spans="1:11" ht="62.55" customHeight="1" x14ac:dyDescent="0.55000000000000004">
      <c r="A50" s="85" t="s">
        <v>45</v>
      </c>
      <c r="B50" s="85"/>
      <c r="C50" s="85"/>
      <c r="D50" s="85"/>
      <c r="E50" s="85"/>
      <c r="F50" s="85"/>
      <c r="G50" s="59"/>
      <c r="H50" s="59"/>
      <c r="I50" s="58"/>
      <c r="J50" s="59"/>
      <c r="K50" s="59"/>
    </row>
    <row r="51" spans="1:11" ht="55.95" customHeight="1" x14ac:dyDescent="0.3">
      <c r="A51" s="85" t="s">
        <v>46</v>
      </c>
      <c r="B51" s="85"/>
      <c r="C51" s="85"/>
      <c r="D51" s="85"/>
      <c r="E51" s="85"/>
      <c r="F51" s="85"/>
    </row>
  </sheetData>
  <mergeCells count="8">
    <mergeCell ref="B48:C48"/>
    <mergeCell ref="A50:F50"/>
    <mergeCell ref="A51:F51"/>
    <mergeCell ref="A1:I1"/>
    <mergeCell ref="J1:K1"/>
    <mergeCell ref="B3:C3"/>
    <mergeCell ref="D3:E3"/>
    <mergeCell ref="J3:K3"/>
  </mergeCells>
  <pageMargins left="0.7" right="0.7" top="0.75" bottom="0.75" header="0.3" footer="0.3"/>
  <pageSetup paperSize="9" scale="4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9571-15F9-446B-9B23-223D1B6BC96B}">
  <dimension ref="A1:K64"/>
  <sheetViews>
    <sheetView rightToLeft="1" view="pageBreakPreview" zoomScale="60" zoomScaleNormal="100" workbookViewId="0">
      <selection sqref="A1:I1"/>
    </sheetView>
  </sheetViews>
  <sheetFormatPr defaultRowHeight="14.4" x14ac:dyDescent="0.3"/>
  <cols>
    <col min="1" max="1" width="25.21875" customWidth="1"/>
    <col min="2" max="2" width="27.109375" customWidth="1"/>
    <col min="3" max="3" width="19.88671875" bestFit="1" customWidth="1"/>
    <col min="4" max="4" width="18.6640625" bestFit="1" customWidth="1"/>
    <col min="5" max="5" width="19" bestFit="1" customWidth="1"/>
    <col min="6" max="6" width="17.77734375" bestFit="1" customWidth="1"/>
    <col min="7" max="7" width="13" hidden="1" customWidth="1"/>
    <col min="8" max="9" width="0" hidden="1" customWidth="1"/>
    <col min="10" max="10" width="11.21875" hidden="1" customWidth="1"/>
    <col min="11" max="11" width="23.44140625" customWidth="1"/>
  </cols>
  <sheetData>
    <row r="1" spans="1:11" ht="37.200000000000003" thickBot="1" x14ac:dyDescent="0.35">
      <c r="A1" s="86" t="s">
        <v>39</v>
      </c>
      <c r="B1" s="86"/>
      <c r="C1" s="86"/>
      <c r="D1" s="86"/>
      <c r="E1" s="86"/>
      <c r="F1" s="86"/>
      <c r="G1" s="86"/>
      <c r="H1" s="86"/>
      <c r="I1" s="86"/>
      <c r="J1" s="87"/>
      <c r="K1" s="88"/>
    </row>
    <row r="2" spans="1:11" ht="21.6" thickTop="1" x14ac:dyDescent="0.4">
      <c r="A2" s="1"/>
      <c r="B2" s="2"/>
      <c r="C2" s="2"/>
      <c r="D2" s="3"/>
      <c r="E2" s="4"/>
      <c r="F2" s="5"/>
      <c r="G2" s="2"/>
      <c r="H2" s="2"/>
      <c r="I2" s="1"/>
      <c r="J2" s="2"/>
      <c r="K2" s="2"/>
    </row>
    <row r="3" spans="1:11" ht="34.200000000000003" thickBot="1" x14ac:dyDescent="0.35">
      <c r="A3" s="6" t="s">
        <v>9</v>
      </c>
      <c r="B3" s="97">
        <v>46307</v>
      </c>
      <c r="C3" s="97"/>
      <c r="D3" s="90" t="s">
        <v>10</v>
      </c>
      <c r="E3" s="91"/>
      <c r="F3" s="7" t="str">
        <f>G9</f>
        <v>A-305</v>
      </c>
      <c r="G3" s="8"/>
      <c r="H3" s="9"/>
      <c r="I3" s="10"/>
      <c r="J3" s="92"/>
      <c r="K3" s="92"/>
    </row>
    <row r="4" spans="1:11" ht="26.4" hidden="1" thickTop="1" x14ac:dyDescent="0.4">
      <c r="A4" s="20"/>
      <c r="B4" s="2"/>
      <c r="C4" s="2"/>
      <c r="D4" s="3"/>
      <c r="E4" s="4"/>
      <c r="F4" s="5"/>
      <c r="G4" s="2"/>
      <c r="H4" s="2"/>
      <c r="I4" s="1"/>
      <c r="J4" s="2"/>
      <c r="K4" s="2"/>
    </row>
    <row r="5" spans="1:11" ht="54.6" thickTop="1" x14ac:dyDescent="0.4">
      <c r="A5" s="20" t="s">
        <v>11</v>
      </c>
      <c r="B5" s="12" t="s">
        <v>38</v>
      </c>
      <c r="C5" s="13"/>
      <c r="D5" s="14"/>
      <c r="E5" s="15"/>
      <c r="F5" s="5"/>
      <c r="G5" s="2"/>
      <c r="I5" s="16"/>
      <c r="J5" s="2"/>
      <c r="K5" s="2"/>
    </row>
    <row r="6" spans="1:11" ht="54" x14ac:dyDescent="0.3">
      <c r="A6" s="20" t="s">
        <v>40</v>
      </c>
      <c r="B6" s="12" t="s">
        <v>41</v>
      </c>
      <c r="C6" s="12"/>
      <c r="D6" s="12"/>
      <c r="E6" s="12"/>
      <c r="F6" s="17"/>
      <c r="G6" s="18"/>
      <c r="H6" s="18"/>
      <c r="I6" s="19"/>
      <c r="J6" s="18"/>
      <c r="K6" s="18"/>
    </row>
    <row r="7" spans="1:11" ht="37.049999999999997" customHeight="1" x14ac:dyDescent="0.3">
      <c r="A7" s="20" t="s">
        <v>12</v>
      </c>
      <c r="B7" s="20" t="s">
        <v>47</v>
      </c>
      <c r="C7" s="18"/>
      <c r="D7" s="21"/>
      <c r="E7" s="22"/>
      <c r="F7" s="17"/>
      <c r="G7" s="18"/>
      <c r="H7" s="18"/>
      <c r="I7" s="19"/>
      <c r="J7" s="18"/>
      <c r="K7" s="18"/>
    </row>
    <row r="8" spans="1:11" ht="31.8" thickBot="1" x14ac:dyDescent="0.35">
      <c r="A8" s="20" t="s">
        <v>48</v>
      </c>
      <c r="B8" s="23" t="s">
        <v>51</v>
      </c>
      <c r="C8" s="18"/>
      <c r="D8" s="21"/>
      <c r="E8" s="24"/>
      <c r="F8" s="25"/>
      <c r="G8" s="26"/>
      <c r="H8" s="27" t="s">
        <v>15</v>
      </c>
      <c r="I8" s="28"/>
      <c r="J8" s="29" t="s">
        <v>26</v>
      </c>
      <c r="K8" s="18"/>
    </row>
    <row r="9" spans="1:11" ht="34.799999999999997" thickTop="1" thickBot="1" x14ac:dyDescent="0.35">
      <c r="A9" s="20" t="s">
        <v>17</v>
      </c>
      <c r="B9" s="20" t="s">
        <v>49</v>
      </c>
      <c r="C9" s="18"/>
      <c r="D9" s="21"/>
      <c r="E9" s="22"/>
      <c r="F9" s="17"/>
      <c r="G9" s="30" t="s">
        <v>27</v>
      </c>
      <c r="H9" s="31" t="s">
        <v>19</v>
      </c>
      <c r="I9" s="26"/>
      <c r="J9" s="18"/>
      <c r="K9" s="18"/>
    </row>
    <row r="10" spans="1:11" ht="34.049999999999997" customHeight="1" thickTop="1" thickBot="1" x14ac:dyDescent="0.35">
      <c r="A10" s="20" t="s">
        <v>44</v>
      </c>
      <c r="B10" s="20" t="s">
        <v>0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21.6" thickTop="1" x14ac:dyDescent="0.3">
      <c r="A11" s="60" t="s">
        <v>42</v>
      </c>
      <c r="B11" s="60" t="s">
        <v>20</v>
      </c>
      <c r="C11" s="61" t="s">
        <v>9</v>
      </c>
      <c r="D11" s="62" t="s">
        <v>21</v>
      </c>
      <c r="E11" s="63" t="s">
        <v>22</v>
      </c>
      <c r="F11" s="64" t="s">
        <v>43</v>
      </c>
      <c r="G11" s="63"/>
      <c r="H11" s="65"/>
      <c r="I11" s="66"/>
      <c r="J11" s="67"/>
      <c r="K11" s="68"/>
    </row>
    <row r="12" spans="1:11" ht="25.8" x14ac:dyDescent="0.3">
      <c r="A12" s="70">
        <v>1</v>
      </c>
      <c r="B12" s="71">
        <v>80000</v>
      </c>
      <c r="C12" s="72">
        <v>46600</v>
      </c>
      <c r="D12" s="73">
        <v>555920195</v>
      </c>
      <c r="E12" s="72" t="str">
        <f t="shared" ref="E12:E49" si="0">$J$8</f>
        <v>CIB</v>
      </c>
      <c r="F12" s="72" t="str">
        <f t="shared" ref="F12:F49" si="1">$G$9</f>
        <v>A-305</v>
      </c>
      <c r="G12" s="72"/>
      <c r="H12" s="72"/>
      <c r="I12" s="74"/>
      <c r="J12" s="75"/>
      <c r="K12" s="76"/>
    </row>
    <row r="13" spans="1:11" ht="25.8" x14ac:dyDescent="0.3">
      <c r="A13" s="70">
        <v>2</v>
      </c>
      <c r="B13" s="71">
        <v>80000</v>
      </c>
      <c r="C13" s="72">
        <v>46692</v>
      </c>
      <c r="D13" s="73">
        <v>555920196</v>
      </c>
      <c r="E13" s="72" t="str">
        <f t="shared" si="0"/>
        <v>CIB</v>
      </c>
      <c r="F13" s="72" t="str">
        <f t="shared" si="1"/>
        <v>A-305</v>
      </c>
      <c r="G13" s="72"/>
      <c r="H13" s="72"/>
      <c r="I13" s="74"/>
      <c r="J13" s="75"/>
      <c r="K13" s="76"/>
    </row>
    <row r="14" spans="1:11" ht="25.8" x14ac:dyDescent="0.3">
      <c r="A14" s="70">
        <v>3</v>
      </c>
      <c r="B14" s="71">
        <v>80000</v>
      </c>
      <c r="C14" s="72">
        <v>46966</v>
      </c>
      <c r="D14" s="73">
        <v>555920199</v>
      </c>
      <c r="E14" s="72" t="str">
        <f t="shared" si="0"/>
        <v>CIB</v>
      </c>
      <c r="F14" s="72" t="str">
        <f t="shared" si="1"/>
        <v>A-305</v>
      </c>
      <c r="G14" s="72"/>
      <c r="H14" s="72"/>
      <c r="I14" s="74"/>
      <c r="J14" s="75"/>
      <c r="K14" s="76"/>
    </row>
    <row r="15" spans="1:11" ht="25.8" x14ac:dyDescent="0.3">
      <c r="A15" s="70">
        <v>4</v>
      </c>
      <c r="B15" s="71">
        <v>80000</v>
      </c>
      <c r="C15" s="72">
        <v>47058</v>
      </c>
      <c r="D15" s="73">
        <v>555920200</v>
      </c>
      <c r="E15" s="72" t="str">
        <f t="shared" si="0"/>
        <v>CIB</v>
      </c>
      <c r="F15" s="72" t="str">
        <f t="shared" si="1"/>
        <v>A-305</v>
      </c>
      <c r="G15" s="72"/>
      <c r="H15" s="72"/>
      <c r="I15" s="74"/>
      <c r="J15" s="75"/>
      <c r="K15" s="76"/>
    </row>
    <row r="16" spans="1:11" ht="25.8" x14ac:dyDescent="0.3">
      <c r="A16" s="70">
        <v>5</v>
      </c>
      <c r="B16" s="71">
        <v>80000</v>
      </c>
      <c r="C16" s="72">
        <v>47150</v>
      </c>
      <c r="D16" s="73">
        <v>555920201</v>
      </c>
      <c r="E16" s="72" t="str">
        <f t="shared" si="0"/>
        <v>CIB</v>
      </c>
      <c r="F16" s="72" t="str">
        <f t="shared" si="1"/>
        <v>A-305</v>
      </c>
      <c r="G16" s="72"/>
      <c r="H16" s="72"/>
      <c r="I16" s="74"/>
      <c r="J16" s="75"/>
      <c r="K16" s="76"/>
    </row>
    <row r="17" spans="1:11" ht="25.8" x14ac:dyDescent="0.3">
      <c r="A17" s="70">
        <v>6</v>
      </c>
      <c r="B17" s="71">
        <v>80000</v>
      </c>
      <c r="C17" s="72">
        <v>47239</v>
      </c>
      <c r="D17" s="73">
        <v>555920202</v>
      </c>
      <c r="E17" s="72" t="str">
        <f t="shared" si="0"/>
        <v>CIB</v>
      </c>
      <c r="F17" s="72" t="str">
        <f t="shared" si="1"/>
        <v>A-305</v>
      </c>
      <c r="G17" s="72"/>
      <c r="H17" s="72"/>
      <c r="I17" s="74"/>
      <c r="J17" s="75"/>
      <c r="K17" s="76"/>
    </row>
    <row r="18" spans="1:11" ht="25.8" x14ac:dyDescent="0.3">
      <c r="A18" s="70">
        <v>7</v>
      </c>
      <c r="B18" s="71">
        <v>76000</v>
      </c>
      <c r="C18" s="72">
        <v>47270</v>
      </c>
      <c r="D18" s="73">
        <v>555920232</v>
      </c>
      <c r="E18" s="72" t="str">
        <f t="shared" si="0"/>
        <v>CIB</v>
      </c>
      <c r="F18" s="72" t="str">
        <f t="shared" si="1"/>
        <v>A-305</v>
      </c>
      <c r="G18" s="72"/>
      <c r="H18" s="72"/>
      <c r="I18" s="74"/>
      <c r="J18" s="75"/>
      <c r="K18" s="76"/>
    </row>
    <row r="19" spans="1:11" ht="25.8" x14ac:dyDescent="0.3">
      <c r="A19" s="70">
        <v>8</v>
      </c>
      <c r="B19" s="71">
        <v>80000</v>
      </c>
      <c r="C19" s="72">
        <v>47331</v>
      </c>
      <c r="D19" s="73">
        <v>555920203</v>
      </c>
      <c r="E19" s="72" t="str">
        <f t="shared" si="0"/>
        <v>CIB</v>
      </c>
      <c r="F19" s="72" t="str">
        <f t="shared" si="1"/>
        <v>A-305</v>
      </c>
      <c r="G19" s="72"/>
      <c r="H19" s="72"/>
      <c r="I19" s="74"/>
      <c r="J19" s="75"/>
      <c r="K19" s="76"/>
    </row>
    <row r="20" spans="1:11" ht="25.8" x14ac:dyDescent="0.3">
      <c r="A20" s="70">
        <v>9</v>
      </c>
      <c r="B20" s="71">
        <v>80000</v>
      </c>
      <c r="C20" s="72">
        <v>47423</v>
      </c>
      <c r="D20" s="73">
        <v>555920204</v>
      </c>
      <c r="E20" s="72" t="str">
        <f t="shared" si="0"/>
        <v>CIB</v>
      </c>
      <c r="F20" s="72" t="str">
        <f t="shared" si="1"/>
        <v>A-305</v>
      </c>
      <c r="G20" s="72"/>
      <c r="H20" s="72"/>
      <c r="I20" s="74"/>
      <c r="J20" s="75"/>
      <c r="K20" s="76"/>
    </row>
    <row r="21" spans="1:11" ht="25.8" x14ac:dyDescent="0.3">
      <c r="A21" s="70">
        <v>10</v>
      </c>
      <c r="B21" s="71">
        <v>80000</v>
      </c>
      <c r="C21" s="72">
        <v>47515</v>
      </c>
      <c r="D21" s="73">
        <v>555920205</v>
      </c>
      <c r="E21" s="72" t="str">
        <f t="shared" si="0"/>
        <v>CIB</v>
      </c>
      <c r="F21" s="72" t="str">
        <f t="shared" si="1"/>
        <v>A-305</v>
      </c>
      <c r="G21" s="72"/>
      <c r="H21" s="72"/>
      <c r="I21" s="74"/>
      <c r="J21" s="75"/>
      <c r="K21" s="76"/>
    </row>
    <row r="22" spans="1:11" ht="25.8" x14ac:dyDescent="0.3">
      <c r="A22" s="70">
        <v>11</v>
      </c>
      <c r="B22" s="71">
        <v>80000</v>
      </c>
      <c r="C22" s="72">
        <v>47604</v>
      </c>
      <c r="D22" s="73">
        <v>555920206</v>
      </c>
      <c r="E22" s="72" t="str">
        <f t="shared" si="0"/>
        <v>CIB</v>
      </c>
      <c r="F22" s="72" t="str">
        <f t="shared" si="1"/>
        <v>A-305</v>
      </c>
      <c r="G22" s="72"/>
      <c r="H22" s="72"/>
      <c r="I22" s="74"/>
      <c r="J22" s="75"/>
      <c r="K22" s="76"/>
    </row>
    <row r="23" spans="1:11" ht="25.8" x14ac:dyDescent="0.3">
      <c r="A23" s="70">
        <v>12</v>
      </c>
      <c r="B23" s="71">
        <v>76000</v>
      </c>
      <c r="C23" s="72">
        <v>47635</v>
      </c>
      <c r="D23" s="73">
        <v>555920233</v>
      </c>
      <c r="E23" s="72" t="str">
        <f t="shared" si="0"/>
        <v>CIB</v>
      </c>
      <c r="F23" s="72" t="str">
        <f t="shared" si="1"/>
        <v>A-305</v>
      </c>
      <c r="G23" s="72"/>
      <c r="H23" s="72"/>
      <c r="I23" s="74"/>
      <c r="J23" s="75"/>
      <c r="K23" s="76"/>
    </row>
    <row r="24" spans="1:11" ht="25.8" x14ac:dyDescent="0.3">
      <c r="A24" s="70">
        <v>13</v>
      </c>
      <c r="B24" s="71">
        <v>80000</v>
      </c>
      <c r="C24" s="72">
        <v>47696</v>
      </c>
      <c r="D24" s="73">
        <v>555920207</v>
      </c>
      <c r="E24" s="72" t="str">
        <f t="shared" si="0"/>
        <v>CIB</v>
      </c>
      <c r="F24" s="72" t="str">
        <f t="shared" si="1"/>
        <v>A-305</v>
      </c>
      <c r="G24" s="72"/>
      <c r="H24" s="72"/>
      <c r="I24" s="74"/>
      <c r="J24" s="75"/>
      <c r="K24" s="76"/>
    </row>
    <row r="25" spans="1:11" ht="25.8" x14ac:dyDescent="0.3">
      <c r="A25" s="70">
        <v>14</v>
      </c>
      <c r="B25" s="71">
        <v>80000</v>
      </c>
      <c r="C25" s="72">
        <v>47788</v>
      </c>
      <c r="D25" s="73">
        <v>555920208</v>
      </c>
      <c r="E25" s="72" t="str">
        <f t="shared" si="0"/>
        <v>CIB</v>
      </c>
      <c r="F25" s="72" t="str">
        <f t="shared" si="1"/>
        <v>A-305</v>
      </c>
      <c r="G25" s="72"/>
      <c r="H25" s="72"/>
      <c r="I25" s="74"/>
      <c r="J25" s="75"/>
      <c r="K25" s="76"/>
    </row>
    <row r="26" spans="1:11" ht="25.8" x14ac:dyDescent="0.3">
      <c r="A26" s="70">
        <v>15</v>
      </c>
      <c r="B26" s="71">
        <v>80000</v>
      </c>
      <c r="C26" s="72">
        <v>47880</v>
      </c>
      <c r="D26" s="73">
        <v>555920209</v>
      </c>
      <c r="E26" s="72" t="str">
        <f t="shared" si="0"/>
        <v>CIB</v>
      </c>
      <c r="F26" s="72" t="str">
        <f t="shared" si="1"/>
        <v>A-305</v>
      </c>
      <c r="G26" s="72"/>
      <c r="H26" s="72"/>
      <c r="I26" s="74"/>
      <c r="J26" s="75"/>
      <c r="K26" s="76"/>
    </row>
    <row r="27" spans="1:11" ht="25.8" x14ac:dyDescent="0.3">
      <c r="A27" s="70">
        <v>16</v>
      </c>
      <c r="B27" s="71">
        <v>80000</v>
      </c>
      <c r="C27" s="72">
        <v>47969</v>
      </c>
      <c r="D27" s="73">
        <v>555920210</v>
      </c>
      <c r="E27" s="72" t="str">
        <f t="shared" si="0"/>
        <v>CIB</v>
      </c>
      <c r="F27" s="72" t="str">
        <f t="shared" si="1"/>
        <v>A-305</v>
      </c>
      <c r="G27" s="72"/>
      <c r="H27" s="72"/>
      <c r="I27" s="74"/>
      <c r="J27" s="75"/>
      <c r="K27" s="76"/>
    </row>
    <row r="28" spans="1:11" ht="25.8" x14ac:dyDescent="0.3">
      <c r="A28" s="70">
        <v>17</v>
      </c>
      <c r="B28" s="71">
        <v>76000</v>
      </c>
      <c r="C28" s="72">
        <v>48000</v>
      </c>
      <c r="D28" s="73">
        <v>555920234</v>
      </c>
      <c r="E28" s="72" t="str">
        <f t="shared" si="0"/>
        <v>CIB</v>
      </c>
      <c r="F28" s="72" t="str">
        <f t="shared" si="1"/>
        <v>A-305</v>
      </c>
      <c r="G28" s="72"/>
      <c r="H28" s="72"/>
      <c r="I28" s="74"/>
      <c r="J28" s="75"/>
      <c r="K28" s="76"/>
    </row>
    <row r="29" spans="1:11" ht="25.8" x14ac:dyDescent="0.3">
      <c r="A29" s="70">
        <v>18</v>
      </c>
      <c r="B29" s="71">
        <v>80000</v>
      </c>
      <c r="C29" s="72">
        <v>48061</v>
      </c>
      <c r="D29" s="73">
        <v>555920211</v>
      </c>
      <c r="E29" s="72" t="str">
        <f t="shared" si="0"/>
        <v>CIB</v>
      </c>
      <c r="F29" s="72" t="str">
        <f t="shared" si="1"/>
        <v>A-305</v>
      </c>
      <c r="G29" s="72"/>
      <c r="H29" s="72"/>
      <c r="I29" s="74"/>
      <c r="J29" s="75"/>
      <c r="K29" s="76"/>
    </row>
    <row r="30" spans="1:11" ht="25.8" x14ac:dyDescent="0.3">
      <c r="A30" s="70">
        <v>19</v>
      </c>
      <c r="B30" s="71">
        <v>80000</v>
      </c>
      <c r="C30" s="72">
        <v>48153</v>
      </c>
      <c r="D30" s="73">
        <v>555920212</v>
      </c>
      <c r="E30" s="72" t="str">
        <f t="shared" si="0"/>
        <v>CIB</v>
      </c>
      <c r="F30" s="72" t="str">
        <f t="shared" si="1"/>
        <v>A-305</v>
      </c>
      <c r="G30" s="72"/>
      <c r="H30" s="72"/>
      <c r="I30" s="74"/>
      <c r="J30" s="75"/>
      <c r="K30" s="76"/>
    </row>
    <row r="31" spans="1:11" ht="25.8" x14ac:dyDescent="0.3">
      <c r="A31" s="70">
        <v>20</v>
      </c>
      <c r="B31" s="71">
        <v>80000</v>
      </c>
      <c r="C31" s="72">
        <v>48245</v>
      </c>
      <c r="D31" s="73">
        <v>555920213</v>
      </c>
      <c r="E31" s="72" t="str">
        <f t="shared" si="0"/>
        <v>CIB</v>
      </c>
      <c r="F31" s="72" t="str">
        <f t="shared" si="1"/>
        <v>A-305</v>
      </c>
      <c r="G31" s="72"/>
      <c r="H31" s="72"/>
      <c r="I31" s="74"/>
      <c r="J31" s="75"/>
      <c r="K31" s="76"/>
    </row>
    <row r="32" spans="1:11" ht="25.8" x14ac:dyDescent="0.3">
      <c r="A32" s="70">
        <v>21</v>
      </c>
      <c r="B32" s="71">
        <v>80000</v>
      </c>
      <c r="C32" s="72">
        <v>48335</v>
      </c>
      <c r="D32" s="73">
        <v>555920214</v>
      </c>
      <c r="E32" s="72" t="str">
        <f t="shared" si="0"/>
        <v>CIB</v>
      </c>
      <c r="F32" s="72" t="str">
        <f t="shared" si="1"/>
        <v>A-305</v>
      </c>
      <c r="G32" s="72"/>
      <c r="H32" s="72"/>
      <c r="I32" s="74"/>
      <c r="J32" s="75"/>
      <c r="K32" s="76"/>
    </row>
    <row r="33" spans="1:11" ht="25.8" x14ac:dyDescent="0.3">
      <c r="A33" s="70">
        <v>22</v>
      </c>
      <c r="B33" s="71">
        <v>76000</v>
      </c>
      <c r="C33" s="72">
        <v>48366</v>
      </c>
      <c r="D33" s="73">
        <v>555920235</v>
      </c>
      <c r="E33" s="72" t="str">
        <f t="shared" si="0"/>
        <v>CIB</v>
      </c>
      <c r="F33" s="72" t="str">
        <f t="shared" si="1"/>
        <v>A-305</v>
      </c>
      <c r="G33" s="72"/>
      <c r="H33" s="72"/>
      <c r="I33" s="74"/>
      <c r="J33" s="75"/>
      <c r="K33" s="76"/>
    </row>
    <row r="34" spans="1:11" ht="25.8" x14ac:dyDescent="0.3">
      <c r="A34" s="70">
        <v>23</v>
      </c>
      <c r="B34" s="71">
        <v>80000</v>
      </c>
      <c r="C34" s="72">
        <v>48427</v>
      </c>
      <c r="D34" s="73">
        <v>555920215</v>
      </c>
      <c r="E34" s="72" t="str">
        <f t="shared" si="0"/>
        <v>CIB</v>
      </c>
      <c r="F34" s="72" t="str">
        <f t="shared" si="1"/>
        <v>A-305</v>
      </c>
      <c r="G34" s="72"/>
      <c r="H34" s="72"/>
      <c r="I34" s="74"/>
      <c r="J34" s="75"/>
      <c r="K34" s="76"/>
    </row>
    <row r="35" spans="1:11" ht="25.8" x14ac:dyDescent="0.3">
      <c r="A35" s="70">
        <v>24</v>
      </c>
      <c r="B35" s="71">
        <v>80000</v>
      </c>
      <c r="C35" s="72">
        <v>48519</v>
      </c>
      <c r="D35" s="73">
        <v>555920216</v>
      </c>
      <c r="E35" s="72" t="str">
        <f t="shared" si="0"/>
        <v>CIB</v>
      </c>
      <c r="F35" s="72" t="str">
        <f t="shared" si="1"/>
        <v>A-305</v>
      </c>
      <c r="G35" s="72"/>
      <c r="H35" s="72"/>
      <c r="I35" s="74"/>
      <c r="J35" s="75"/>
      <c r="K35" s="76"/>
    </row>
    <row r="36" spans="1:11" ht="25.8" x14ac:dyDescent="0.3">
      <c r="A36" s="70">
        <v>25</v>
      </c>
      <c r="B36" s="71">
        <v>80000</v>
      </c>
      <c r="C36" s="72">
        <v>48611</v>
      </c>
      <c r="D36" s="73">
        <v>555920217</v>
      </c>
      <c r="E36" s="72" t="str">
        <f t="shared" si="0"/>
        <v>CIB</v>
      </c>
      <c r="F36" s="72" t="str">
        <f t="shared" si="1"/>
        <v>A-305</v>
      </c>
      <c r="G36" s="72"/>
      <c r="H36" s="72"/>
      <c r="I36" s="74"/>
      <c r="J36" s="75"/>
      <c r="K36" s="76"/>
    </row>
    <row r="37" spans="1:11" ht="25.8" x14ac:dyDescent="0.3">
      <c r="A37" s="70">
        <v>26</v>
      </c>
      <c r="B37" s="71">
        <v>80000</v>
      </c>
      <c r="C37" s="72">
        <v>48700</v>
      </c>
      <c r="D37" s="73">
        <v>555920218</v>
      </c>
      <c r="E37" s="72" t="str">
        <f t="shared" si="0"/>
        <v>CIB</v>
      </c>
      <c r="F37" s="72" t="str">
        <f t="shared" si="1"/>
        <v>A-305</v>
      </c>
      <c r="G37" s="72"/>
      <c r="H37" s="72"/>
      <c r="I37" s="74"/>
      <c r="J37" s="75"/>
      <c r="K37" s="76"/>
    </row>
    <row r="38" spans="1:11" ht="25.8" x14ac:dyDescent="0.3">
      <c r="A38" s="70">
        <v>27</v>
      </c>
      <c r="B38" s="71">
        <v>76000</v>
      </c>
      <c r="C38" s="72">
        <v>48731</v>
      </c>
      <c r="D38" s="73">
        <v>555920236</v>
      </c>
      <c r="E38" s="72" t="str">
        <f t="shared" si="0"/>
        <v>CIB</v>
      </c>
      <c r="F38" s="72" t="str">
        <f t="shared" si="1"/>
        <v>A-305</v>
      </c>
      <c r="G38" s="72"/>
      <c r="H38" s="72"/>
      <c r="I38" s="74"/>
      <c r="J38" s="75"/>
      <c r="K38" s="76"/>
    </row>
    <row r="39" spans="1:11" ht="25.8" x14ac:dyDescent="0.3">
      <c r="A39" s="70">
        <v>28</v>
      </c>
      <c r="B39" s="71">
        <v>80000</v>
      </c>
      <c r="C39" s="72">
        <v>48792</v>
      </c>
      <c r="D39" s="73">
        <v>555920219</v>
      </c>
      <c r="E39" s="72" t="str">
        <f t="shared" si="0"/>
        <v>CIB</v>
      </c>
      <c r="F39" s="72" t="str">
        <f t="shared" si="1"/>
        <v>A-305</v>
      </c>
      <c r="G39" s="72"/>
      <c r="H39" s="72"/>
      <c r="I39" s="74"/>
      <c r="J39" s="75"/>
      <c r="K39" s="76"/>
    </row>
    <row r="40" spans="1:11" ht="25.8" x14ac:dyDescent="0.3">
      <c r="A40" s="70">
        <v>29</v>
      </c>
      <c r="B40" s="71">
        <v>80000</v>
      </c>
      <c r="C40" s="72">
        <v>48884</v>
      </c>
      <c r="D40" s="73">
        <v>555920220</v>
      </c>
      <c r="E40" s="72" t="str">
        <f t="shared" si="0"/>
        <v>CIB</v>
      </c>
      <c r="F40" s="72" t="str">
        <f t="shared" si="1"/>
        <v>A-305</v>
      </c>
      <c r="G40" s="72"/>
      <c r="H40" s="72"/>
      <c r="I40" s="74"/>
      <c r="J40" s="75"/>
      <c r="K40" s="76"/>
    </row>
    <row r="41" spans="1:11" ht="25.8" x14ac:dyDescent="0.3">
      <c r="A41" s="70">
        <v>30</v>
      </c>
      <c r="B41" s="71">
        <v>80000</v>
      </c>
      <c r="C41" s="72">
        <v>48976</v>
      </c>
      <c r="D41" s="73">
        <v>555920221</v>
      </c>
      <c r="E41" s="72" t="str">
        <f t="shared" si="0"/>
        <v>CIB</v>
      </c>
      <c r="F41" s="72" t="str">
        <f t="shared" si="1"/>
        <v>A-305</v>
      </c>
      <c r="G41" s="72"/>
      <c r="H41" s="72"/>
      <c r="I41" s="74"/>
      <c r="J41" s="75"/>
      <c r="K41" s="76"/>
    </row>
    <row r="42" spans="1:11" ht="25.8" x14ac:dyDescent="0.3">
      <c r="A42" s="70">
        <v>31</v>
      </c>
      <c r="B42" s="71">
        <v>80000</v>
      </c>
      <c r="C42" s="72">
        <v>49065</v>
      </c>
      <c r="D42" s="73">
        <v>555920222</v>
      </c>
      <c r="E42" s="72" t="str">
        <f t="shared" si="0"/>
        <v>CIB</v>
      </c>
      <c r="F42" s="72" t="str">
        <f t="shared" si="1"/>
        <v>A-305</v>
      </c>
      <c r="G42" s="72"/>
      <c r="H42" s="72"/>
      <c r="I42" s="74"/>
      <c r="J42" s="75"/>
      <c r="K42" s="76"/>
    </row>
    <row r="43" spans="1:11" ht="25.8" x14ac:dyDescent="0.3">
      <c r="A43" s="70">
        <v>32</v>
      </c>
      <c r="B43" s="71">
        <v>76000</v>
      </c>
      <c r="C43" s="72">
        <v>49096</v>
      </c>
      <c r="D43" s="73">
        <v>555920237</v>
      </c>
      <c r="E43" s="72" t="str">
        <f t="shared" si="0"/>
        <v>CIB</v>
      </c>
      <c r="F43" s="72" t="str">
        <f t="shared" si="1"/>
        <v>A-305</v>
      </c>
      <c r="G43" s="72"/>
      <c r="H43" s="72"/>
      <c r="I43" s="74"/>
      <c r="J43" s="75"/>
      <c r="K43" s="76"/>
    </row>
    <row r="44" spans="1:11" ht="25.8" x14ac:dyDescent="0.3">
      <c r="A44" s="70">
        <v>33</v>
      </c>
      <c r="B44" s="71">
        <v>80000</v>
      </c>
      <c r="C44" s="72">
        <v>49157</v>
      </c>
      <c r="D44" s="73">
        <v>555920223</v>
      </c>
      <c r="E44" s="72" t="str">
        <f t="shared" si="0"/>
        <v>CIB</v>
      </c>
      <c r="F44" s="72" t="str">
        <f t="shared" si="1"/>
        <v>A-305</v>
      </c>
      <c r="G44" s="72"/>
      <c r="H44" s="72"/>
      <c r="I44" s="74"/>
      <c r="J44" s="75"/>
      <c r="K44" s="76"/>
    </row>
    <row r="45" spans="1:11" ht="25.8" x14ac:dyDescent="0.3">
      <c r="A45" s="70">
        <v>34</v>
      </c>
      <c r="B45" s="71">
        <v>80000</v>
      </c>
      <c r="C45" s="72">
        <v>49249</v>
      </c>
      <c r="D45" s="73">
        <v>555920224</v>
      </c>
      <c r="E45" s="72" t="str">
        <f t="shared" si="0"/>
        <v>CIB</v>
      </c>
      <c r="F45" s="72" t="str">
        <f t="shared" si="1"/>
        <v>A-305</v>
      </c>
      <c r="G45" s="72"/>
      <c r="H45" s="72"/>
      <c r="I45" s="74"/>
      <c r="J45" s="75"/>
      <c r="K45" s="76"/>
    </row>
    <row r="46" spans="1:11" ht="25.8" x14ac:dyDescent="0.3">
      <c r="A46" s="70">
        <v>35</v>
      </c>
      <c r="B46" s="71">
        <v>80000</v>
      </c>
      <c r="C46" s="72">
        <v>49341</v>
      </c>
      <c r="D46" s="73">
        <v>555920225</v>
      </c>
      <c r="E46" s="72" t="str">
        <f t="shared" si="0"/>
        <v>CIB</v>
      </c>
      <c r="F46" s="72" t="str">
        <f t="shared" si="1"/>
        <v>A-305</v>
      </c>
      <c r="G46" s="72"/>
      <c r="H46" s="72"/>
      <c r="I46" s="74"/>
      <c r="J46" s="75"/>
      <c r="K46" s="76"/>
    </row>
    <row r="47" spans="1:11" ht="25.8" x14ac:dyDescent="0.3">
      <c r="A47" s="70">
        <v>36</v>
      </c>
      <c r="B47" s="71">
        <v>80000</v>
      </c>
      <c r="C47" s="72">
        <v>49430</v>
      </c>
      <c r="D47" s="73">
        <v>555920226</v>
      </c>
      <c r="E47" s="72" t="str">
        <f t="shared" si="0"/>
        <v>CIB</v>
      </c>
      <c r="F47" s="72" t="str">
        <f t="shared" si="1"/>
        <v>A-305</v>
      </c>
      <c r="G47" s="72"/>
      <c r="H47" s="72"/>
      <c r="I47" s="74"/>
      <c r="J47" s="75"/>
      <c r="K47" s="76"/>
    </row>
    <row r="48" spans="1:11" ht="25.8" x14ac:dyDescent="0.3">
      <c r="A48" s="70">
        <v>37</v>
      </c>
      <c r="B48" s="71">
        <v>76000</v>
      </c>
      <c r="C48" s="72">
        <v>49461</v>
      </c>
      <c r="D48" s="73">
        <v>555920238</v>
      </c>
      <c r="E48" s="72" t="str">
        <f t="shared" si="0"/>
        <v>CIB</v>
      </c>
      <c r="F48" s="72" t="str">
        <f t="shared" si="1"/>
        <v>A-305</v>
      </c>
      <c r="G48" s="72"/>
      <c r="H48" s="72"/>
      <c r="I48" s="74"/>
      <c r="J48" s="75"/>
      <c r="K48" s="76"/>
    </row>
    <row r="49" spans="1:11" ht="25.8" x14ac:dyDescent="0.3">
      <c r="A49" s="70">
        <v>38</v>
      </c>
      <c r="B49" s="71">
        <v>495000</v>
      </c>
      <c r="C49" s="72">
        <v>49522</v>
      </c>
      <c r="D49" s="73">
        <v>555920239</v>
      </c>
      <c r="E49" s="72" t="str">
        <f t="shared" si="0"/>
        <v>CIB</v>
      </c>
      <c r="F49" s="72" t="str">
        <f t="shared" si="1"/>
        <v>A-305</v>
      </c>
      <c r="G49" s="72"/>
      <c r="H49" s="72"/>
      <c r="I49" s="74"/>
      <c r="J49" s="75"/>
      <c r="K49" s="76"/>
    </row>
    <row r="50" spans="1:11" ht="25.8" hidden="1" x14ac:dyDescent="0.3">
      <c r="A50" s="70">
        <v>39</v>
      </c>
      <c r="B50" s="69"/>
      <c r="C50" s="70">
        <v>37</v>
      </c>
      <c r="D50" s="71"/>
      <c r="E50" s="72"/>
      <c r="F50" s="73"/>
      <c r="G50" s="72"/>
      <c r="H50" s="72"/>
      <c r="I50" s="74"/>
      <c r="J50" s="75"/>
      <c r="K50" s="76"/>
    </row>
    <row r="51" spans="1:11" ht="25.8" hidden="1" x14ac:dyDescent="0.3">
      <c r="A51" s="70">
        <v>40</v>
      </c>
      <c r="B51" s="69"/>
      <c r="C51" s="70">
        <v>38</v>
      </c>
      <c r="D51" s="71"/>
      <c r="E51" s="72"/>
      <c r="F51" s="73"/>
      <c r="G51" s="72"/>
      <c r="H51" s="72"/>
      <c r="I51" s="74"/>
      <c r="J51" s="75"/>
      <c r="K51" s="76"/>
    </row>
    <row r="52" spans="1:11" ht="25.8" hidden="1" x14ac:dyDescent="0.3">
      <c r="A52" s="70">
        <v>41</v>
      </c>
      <c r="B52" s="69"/>
      <c r="C52" s="70">
        <v>39</v>
      </c>
      <c r="D52" s="71"/>
      <c r="E52" s="72"/>
      <c r="F52" s="73"/>
      <c r="G52" s="72"/>
      <c r="H52" s="72"/>
      <c r="I52" s="74"/>
      <c r="J52" s="75"/>
      <c r="K52" s="76"/>
    </row>
    <row r="53" spans="1:11" ht="25.8" hidden="1" x14ac:dyDescent="0.3">
      <c r="A53" s="70">
        <v>42</v>
      </c>
      <c r="B53" s="69"/>
      <c r="C53" s="70">
        <v>40</v>
      </c>
      <c r="D53" s="71"/>
      <c r="E53" s="72"/>
      <c r="F53" s="73"/>
      <c r="G53" s="72"/>
      <c r="H53" s="72"/>
      <c r="I53" s="74"/>
      <c r="J53" s="75"/>
      <c r="K53" s="76"/>
    </row>
    <row r="54" spans="1:11" ht="25.8" hidden="1" x14ac:dyDescent="0.3">
      <c r="A54" s="70">
        <v>43</v>
      </c>
      <c r="B54" s="69"/>
      <c r="C54" s="70">
        <v>41</v>
      </c>
      <c r="D54" s="71"/>
      <c r="E54" s="72"/>
      <c r="F54" s="73"/>
      <c r="G54" s="72"/>
      <c r="H54" s="72"/>
      <c r="I54" s="74"/>
      <c r="J54" s="75"/>
      <c r="K54" s="76"/>
    </row>
    <row r="55" spans="1:11" ht="25.8" hidden="1" x14ac:dyDescent="0.3">
      <c r="A55" s="70">
        <v>44</v>
      </c>
      <c r="B55" s="69"/>
      <c r="C55" s="70">
        <v>42</v>
      </c>
      <c r="D55" s="71"/>
      <c r="E55" s="72"/>
      <c r="F55" s="73"/>
      <c r="G55" s="72"/>
      <c r="H55" s="72"/>
      <c r="I55" s="74"/>
      <c r="J55" s="75"/>
      <c r="K55" s="76"/>
    </row>
    <row r="56" spans="1:11" ht="25.8" hidden="1" x14ac:dyDescent="0.3">
      <c r="A56" s="70">
        <v>45</v>
      </c>
      <c r="B56" s="69"/>
      <c r="C56" s="70">
        <v>43</v>
      </c>
      <c r="D56" s="71"/>
      <c r="E56" s="72"/>
      <c r="F56" s="73"/>
      <c r="G56" s="72"/>
      <c r="H56" s="72"/>
      <c r="I56" s="74"/>
      <c r="J56" s="75"/>
      <c r="K56" s="76"/>
    </row>
    <row r="57" spans="1:11" ht="25.8" hidden="1" x14ac:dyDescent="0.3">
      <c r="A57" s="70">
        <v>46</v>
      </c>
      <c r="B57" s="69"/>
      <c r="C57" s="70">
        <v>44</v>
      </c>
      <c r="D57" s="71"/>
      <c r="E57" s="72"/>
      <c r="F57" s="73"/>
      <c r="G57" s="72"/>
      <c r="H57" s="72"/>
      <c r="I57" s="74"/>
      <c r="J57" s="75"/>
      <c r="K57" s="76"/>
    </row>
    <row r="58" spans="1:11" ht="25.8" hidden="1" x14ac:dyDescent="0.3">
      <c r="A58" s="70">
        <v>47</v>
      </c>
      <c r="B58" s="69"/>
      <c r="C58" s="70">
        <v>45</v>
      </c>
      <c r="D58" s="71"/>
      <c r="E58" s="72"/>
      <c r="F58" s="73"/>
      <c r="G58" s="72"/>
      <c r="H58" s="72"/>
      <c r="I58" s="74"/>
      <c r="J58" s="75"/>
      <c r="K58" s="76"/>
    </row>
    <row r="59" spans="1:11" ht="25.8" hidden="1" x14ac:dyDescent="0.3">
      <c r="A59" s="70">
        <v>48</v>
      </c>
      <c r="B59" s="46"/>
      <c r="C59" s="46"/>
      <c r="D59" s="47"/>
      <c r="E59" s="48"/>
      <c r="F59" s="73"/>
      <c r="G59" s="45"/>
      <c r="H59" s="2"/>
      <c r="I59" s="46"/>
      <c r="J59" s="2"/>
      <c r="K59" s="2"/>
    </row>
    <row r="60" spans="1:11" ht="29.4" thickBot="1" x14ac:dyDescent="0.35">
      <c r="A60" s="50"/>
      <c r="B60" s="84">
        <f>SUM(B12:B59)</f>
        <v>3427000</v>
      </c>
      <c r="C60" s="84"/>
      <c r="D60" s="51"/>
      <c r="E60" s="52"/>
      <c r="F60" s="77"/>
      <c r="G60" s="54"/>
      <c r="H60" s="55"/>
      <c r="I60" s="56"/>
      <c r="J60" s="55"/>
      <c r="K60" s="55"/>
    </row>
    <row r="61" spans="1:11" ht="21.6" thickTop="1" x14ac:dyDescent="0.4">
      <c r="A61" s="16"/>
      <c r="D61" s="47"/>
      <c r="E61" s="57"/>
      <c r="F61" s="49"/>
      <c r="I61" s="16"/>
    </row>
    <row r="62" spans="1:11" ht="62.55" customHeight="1" x14ac:dyDescent="0.55000000000000004">
      <c r="A62" s="85" t="s">
        <v>45</v>
      </c>
      <c r="B62" s="85"/>
      <c r="C62" s="85"/>
      <c r="D62" s="85"/>
      <c r="E62" s="85"/>
      <c r="F62" s="85"/>
      <c r="G62" s="59"/>
      <c r="H62" s="59"/>
      <c r="I62" s="58"/>
      <c r="J62" s="59"/>
      <c r="K62" s="59"/>
    </row>
    <row r="63" spans="1:11" ht="55.95" customHeight="1" x14ac:dyDescent="0.3">
      <c r="A63" s="85" t="s">
        <v>46</v>
      </c>
      <c r="B63" s="85"/>
      <c r="C63" s="85"/>
      <c r="D63" s="85"/>
      <c r="E63" s="85"/>
      <c r="F63" s="85"/>
    </row>
    <row r="64" spans="1:11" x14ac:dyDescent="0.3">
      <c r="A64" s="80" t="s">
        <v>54</v>
      </c>
    </row>
  </sheetData>
  <mergeCells count="8">
    <mergeCell ref="B60:C60"/>
    <mergeCell ref="A62:F62"/>
    <mergeCell ref="A63:F63"/>
    <mergeCell ref="A1:I1"/>
    <mergeCell ref="J1:K1"/>
    <mergeCell ref="B3:C3"/>
    <mergeCell ref="D3:E3"/>
    <mergeCell ref="J3:K3"/>
  </mergeCells>
  <hyperlinks>
    <hyperlink ref="A64" location="الاسماء!A1" display="الاسماء!A1" xr:uid="{6FC95E39-16CA-43F6-A72F-DD51C00BF4CE}"/>
  </hyperlinks>
  <pageMargins left="0.7" right="0.7" top="0.75" bottom="0.75" header="0.3" footer="0.3"/>
  <pageSetup paperSize="9" scale="4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CAD5-BA06-46D4-B1B1-858EF0999B4B}">
  <dimension ref="A1:K51"/>
  <sheetViews>
    <sheetView rightToLeft="1" topLeftCell="A21" zoomScaleNormal="100" workbookViewId="0">
      <selection activeCell="R21" sqref="R21"/>
    </sheetView>
  </sheetViews>
  <sheetFormatPr defaultRowHeight="14.4" x14ac:dyDescent="0.3"/>
  <cols>
    <col min="1" max="1" width="17.21875" customWidth="1"/>
    <col min="2" max="2" width="18.21875" customWidth="1"/>
    <col min="3" max="3" width="22.5546875" customWidth="1"/>
    <col min="4" max="4" width="27.88671875" customWidth="1"/>
    <col min="5" max="5" width="29.77734375" customWidth="1"/>
    <col min="6" max="6" width="25.21875" customWidth="1"/>
    <col min="7" max="11" width="0" hidden="1" customWidth="1"/>
  </cols>
  <sheetData>
    <row r="1" spans="1:11" ht="37.200000000000003" thickBot="1" x14ac:dyDescent="0.35">
      <c r="A1" s="86" t="s">
        <v>70</v>
      </c>
      <c r="B1" s="86"/>
      <c r="C1" s="86"/>
      <c r="D1" s="86"/>
      <c r="E1" s="86"/>
      <c r="F1" s="86"/>
      <c r="G1" s="86"/>
      <c r="H1" s="86"/>
      <c r="I1" s="86"/>
      <c r="J1" s="87"/>
      <c r="K1" s="88"/>
    </row>
    <row r="2" spans="1:11" ht="21.6" thickTop="1" x14ac:dyDescent="0.4">
      <c r="A2" s="1" t="s">
        <v>37</v>
      </c>
      <c r="B2" s="2"/>
      <c r="C2" s="2"/>
      <c r="D2" s="3"/>
      <c r="E2" s="4"/>
      <c r="F2" s="5"/>
      <c r="G2" s="2"/>
      <c r="H2" s="2"/>
      <c r="I2" s="1"/>
      <c r="J2" s="2"/>
      <c r="K2" s="2"/>
    </row>
    <row r="3" spans="1:11" ht="34.200000000000003" thickBot="1" x14ac:dyDescent="0.35">
      <c r="A3" s="6" t="s">
        <v>9</v>
      </c>
      <c r="B3" s="89">
        <v>46307</v>
      </c>
      <c r="C3" s="89"/>
      <c r="D3" s="90" t="s">
        <v>10</v>
      </c>
      <c r="E3" s="91"/>
      <c r="F3" s="7" t="s">
        <v>73</v>
      </c>
      <c r="G3" s="8"/>
      <c r="H3" s="9"/>
      <c r="I3" s="10"/>
      <c r="J3" s="92">
        <f>B48</f>
        <v>4540000</v>
      </c>
      <c r="K3" s="92"/>
    </row>
    <row r="4" spans="1:11" ht="21.6" thickTop="1" x14ac:dyDescent="0.4">
      <c r="A4" s="1"/>
      <c r="B4" s="2"/>
      <c r="C4" s="2"/>
      <c r="D4" s="3"/>
      <c r="E4" s="4"/>
      <c r="F4" s="5"/>
      <c r="G4" s="2"/>
      <c r="H4" s="2"/>
      <c r="I4" s="1"/>
      <c r="J4" s="2"/>
      <c r="K4" s="2"/>
    </row>
    <row r="5" spans="1:11" ht="54" x14ac:dyDescent="0.4">
      <c r="A5" s="20" t="s">
        <v>11</v>
      </c>
      <c r="B5" s="12" t="s">
        <v>38</v>
      </c>
      <c r="C5" s="13"/>
      <c r="D5" s="14"/>
      <c r="E5" s="15"/>
      <c r="F5" s="5"/>
      <c r="G5" s="2"/>
      <c r="I5" s="16"/>
      <c r="J5" s="2"/>
      <c r="K5" s="2"/>
    </row>
    <row r="6" spans="1:11" ht="54" x14ac:dyDescent="0.4">
      <c r="A6" s="20" t="s">
        <v>40</v>
      </c>
      <c r="B6" s="12" t="s">
        <v>41</v>
      </c>
      <c r="C6" s="13"/>
      <c r="D6" s="14"/>
      <c r="E6" s="15"/>
      <c r="F6" s="5"/>
      <c r="G6" s="2"/>
      <c r="H6" s="2"/>
      <c r="I6" s="1"/>
      <c r="J6" s="2"/>
      <c r="K6" s="2"/>
    </row>
    <row r="7" spans="1:11" ht="25.8" x14ac:dyDescent="0.3">
      <c r="A7" s="20" t="s">
        <v>12</v>
      </c>
      <c r="B7" s="93"/>
      <c r="C7" s="93"/>
      <c r="D7" s="93"/>
      <c r="E7" s="93"/>
      <c r="F7" s="17"/>
      <c r="G7" s="18"/>
      <c r="H7" s="18"/>
      <c r="I7" s="19"/>
      <c r="J7" s="18"/>
      <c r="K7" s="18"/>
    </row>
    <row r="8" spans="1:11" ht="31.8" thickBot="1" x14ac:dyDescent="0.35">
      <c r="A8" s="20" t="s">
        <v>48</v>
      </c>
      <c r="B8" s="23" t="s">
        <v>25</v>
      </c>
      <c r="C8" s="18"/>
      <c r="D8" s="21"/>
      <c r="E8" s="24"/>
      <c r="F8" s="25"/>
      <c r="G8" s="26"/>
      <c r="H8" s="27" t="s">
        <v>15</v>
      </c>
      <c r="I8" s="28"/>
      <c r="J8" s="29" t="s">
        <v>26</v>
      </c>
      <c r="K8" s="18"/>
    </row>
    <row r="9" spans="1:11" ht="34.799999999999997" thickTop="1" thickBot="1" x14ac:dyDescent="0.35">
      <c r="A9" s="20" t="s">
        <v>17</v>
      </c>
      <c r="B9" s="20" t="s">
        <v>72</v>
      </c>
      <c r="C9" s="18"/>
      <c r="D9" s="21"/>
      <c r="E9" s="22"/>
      <c r="F9" s="17"/>
      <c r="G9" s="30" t="s">
        <v>27</v>
      </c>
      <c r="H9" s="31" t="s">
        <v>19</v>
      </c>
      <c r="I9" s="26"/>
      <c r="J9" s="18"/>
      <c r="K9" s="18"/>
    </row>
    <row r="10" spans="1:11" ht="27" thickTop="1" thickBot="1" x14ac:dyDescent="0.35">
      <c r="A10" s="20" t="s">
        <v>55</v>
      </c>
      <c r="B10" s="20" t="s">
        <v>71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21.6" thickTop="1" x14ac:dyDescent="0.3">
      <c r="A11" s="60" t="s">
        <v>42</v>
      </c>
      <c r="B11" s="60" t="s">
        <v>20</v>
      </c>
      <c r="C11" s="61" t="s">
        <v>9</v>
      </c>
      <c r="D11" s="62" t="s">
        <v>21</v>
      </c>
      <c r="E11" s="63" t="s">
        <v>22</v>
      </c>
      <c r="F11" s="64" t="s">
        <v>43</v>
      </c>
      <c r="G11" s="63" t="s">
        <v>22</v>
      </c>
      <c r="H11" s="65" t="s">
        <v>23</v>
      </c>
      <c r="I11" s="66" t="s">
        <v>24</v>
      </c>
      <c r="J11" s="67"/>
      <c r="K11" s="68"/>
    </row>
    <row r="12" spans="1:11" ht="25.8" x14ac:dyDescent="0.3">
      <c r="A12" s="70">
        <v>1</v>
      </c>
      <c r="B12" s="71">
        <v>204000</v>
      </c>
      <c r="C12" s="72">
        <v>46617</v>
      </c>
      <c r="D12" s="73">
        <v>68317000050654</v>
      </c>
      <c r="E12" s="72" t="s">
        <v>74</v>
      </c>
      <c r="F12" s="72" t="s">
        <v>73</v>
      </c>
      <c r="G12" s="72" t="str">
        <f>$J$8</f>
        <v>CIB</v>
      </c>
      <c r="H12" s="72" t="str">
        <f>$G$9</f>
        <v>A-305</v>
      </c>
      <c r="I12" s="74"/>
      <c r="J12" s="75"/>
      <c r="K12" s="76"/>
    </row>
    <row r="13" spans="1:11" ht="25.8" x14ac:dyDescent="0.3">
      <c r="A13" s="70">
        <v>2</v>
      </c>
      <c r="B13" s="71">
        <v>100000</v>
      </c>
      <c r="C13" s="72">
        <v>46709</v>
      </c>
      <c r="D13" s="73">
        <v>68317000050664</v>
      </c>
      <c r="E13" s="72" t="s">
        <v>74</v>
      </c>
      <c r="F13" s="72" t="s">
        <v>73</v>
      </c>
      <c r="G13" s="72" t="str">
        <f t="shared" ref="G13:G46" si="0">$J$8</f>
        <v>CIB</v>
      </c>
      <c r="H13" s="72" t="str">
        <f t="shared" ref="H13:H46" si="1">$G$9</f>
        <v>A-305</v>
      </c>
      <c r="I13" s="74"/>
      <c r="J13" s="75"/>
      <c r="K13" s="76"/>
    </row>
    <row r="14" spans="1:11" ht="25.8" x14ac:dyDescent="0.3">
      <c r="A14" s="70">
        <v>3</v>
      </c>
      <c r="B14" s="71">
        <v>204000</v>
      </c>
      <c r="C14" s="72">
        <v>46983</v>
      </c>
      <c r="D14" s="73">
        <v>68317000050655</v>
      </c>
      <c r="E14" s="72" t="s">
        <v>74</v>
      </c>
      <c r="F14" s="72" t="s">
        <v>73</v>
      </c>
      <c r="G14" s="72" t="str">
        <f t="shared" si="0"/>
        <v>CIB</v>
      </c>
      <c r="H14" s="72" t="str">
        <f t="shared" si="1"/>
        <v>A-305</v>
      </c>
      <c r="I14" s="74"/>
      <c r="J14" s="75"/>
      <c r="K14" s="76"/>
    </row>
    <row r="15" spans="1:11" ht="25.8" x14ac:dyDescent="0.3">
      <c r="A15" s="70">
        <v>4</v>
      </c>
      <c r="B15" s="71">
        <v>100000</v>
      </c>
      <c r="C15" s="72">
        <v>47075</v>
      </c>
      <c r="D15" s="73">
        <v>68317000050669</v>
      </c>
      <c r="E15" s="72" t="s">
        <v>74</v>
      </c>
      <c r="F15" s="72" t="s">
        <v>73</v>
      </c>
      <c r="G15" s="72" t="str">
        <f t="shared" si="0"/>
        <v>CIB</v>
      </c>
      <c r="H15" s="72" t="str">
        <f t="shared" si="1"/>
        <v>A-305</v>
      </c>
      <c r="I15" s="74"/>
      <c r="J15" s="75"/>
      <c r="K15" s="76"/>
    </row>
    <row r="16" spans="1:11" ht="25.8" x14ac:dyDescent="0.3">
      <c r="A16" s="70">
        <v>5</v>
      </c>
      <c r="B16" s="71">
        <v>100000</v>
      </c>
      <c r="C16" s="72">
        <v>47167</v>
      </c>
      <c r="D16" s="73">
        <v>68317000050670</v>
      </c>
      <c r="E16" s="72" t="s">
        <v>74</v>
      </c>
      <c r="F16" s="72" t="s">
        <v>73</v>
      </c>
      <c r="G16" s="72" t="str">
        <f t="shared" si="0"/>
        <v>CIB</v>
      </c>
      <c r="H16" s="72" t="str">
        <f t="shared" si="1"/>
        <v>A-305</v>
      </c>
      <c r="I16" s="74"/>
      <c r="J16" s="75"/>
      <c r="K16" s="76"/>
    </row>
    <row r="17" spans="1:11" ht="25.8" x14ac:dyDescent="0.3">
      <c r="A17" s="70">
        <v>6</v>
      </c>
      <c r="B17" s="71">
        <v>100000</v>
      </c>
      <c r="C17" s="72">
        <v>47256</v>
      </c>
      <c r="D17" s="73">
        <v>68317000050671</v>
      </c>
      <c r="E17" s="72" t="s">
        <v>74</v>
      </c>
      <c r="F17" s="72" t="s">
        <v>73</v>
      </c>
      <c r="G17" s="72" t="str">
        <f t="shared" si="0"/>
        <v>CIB</v>
      </c>
      <c r="H17" s="72" t="str">
        <f t="shared" si="1"/>
        <v>A-305</v>
      </c>
      <c r="I17" s="74"/>
      <c r="J17" s="75"/>
      <c r="K17" s="76"/>
    </row>
    <row r="18" spans="1:11" ht="25.8" x14ac:dyDescent="0.3">
      <c r="A18" s="70">
        <v>7</v>
      </c>
      <c r="B18" s="71">
        <v>204000</v>
      </c>
      <c r="C18" s="72">
        <v>47348</v>
      </c>
      <c r="D18" s="73">
        <v>68317000050656</v>
      </c>
      <c r="E18" s="72" t="s">
        <v>74</v>
      </c>
      <c r="F18" s="72" t="s">
        <v>73</v>
      </c>
      <c r="G18" s="72" t="str">
        <f t="shared" si="0"/>
        <v>CIB</v>
      </c>
      <c r="H18" s="72" t="str">
        <f t="shared" si="1"/>
        <v>A-305</v>
      </c>
      <c r="I18" s="74"/>
      <c r="J18" s="75"/>
      <c r="K18" s="76"/>
    </row>
    <row r="19" spans="1:11" ht="25.8" x14ac:dyDescent="0.3">
      <c r="A19" s="70">
        <v>8</v>
      </c>
      <c r="B19" s="71">
        <v>100000</v>
      </c>
      <c r="C19" s="72">
        <v>47440</v>
      </c>
      <c r="D19" s="73">
        <v>68317000050673</v>
      </c>
      <c r="E19" s="72" t="s">
        <v>74</v>
      </c>
      <c r="F19" s="72" t="s">
        <v>73</v>
      </c>
      <c r="G19" s="72" t="str">
        <f t="shared" si="0"/>
        <v>CIB</v>
      </c>
      <c r="H19" s="72" t="str">
        <f t="shared" si="1"/>
        <v>A-305</v>
      </c>
      <c r="I19" s="74"/>
      <c r="J19" s="75"/>
      <c r="K19" s="76"/>
    </row>
    <row r="20" spans="1:11" ht="25.8" x14ac:dyDescent="0.3">
      <c r="A20" s="70">
        <v>9</v>
      </c>
      <c r="B20" s="71">
        <v>100000</v>
      </c>
      <c r="C20" s="72">
        <v>47532</v>
      </c>
      <c r="D20" s="73">
        <v>68317000050674</v>
      </c>
      <c r="E20" s="72" t="s">
        <v>74</v>
      </c>
      <c r="F20" s="72" t="s">
        <v>73</v>
      </c>
      <c r="G20" s="72" t="str">
        <f t="shared" si="0"/>
        <v>CIB</v>
      </c>
      <c r="H20" s="72" t="str">
        <f t="shared" si="1"/>
        <v>A-305</v>
      </c>
      <c r="I20" s="74"/>
      <c r="J20" s="75"/>
      <c r="K20" s="76"/>
    </row>
    <row r="21" spans="1:11" ht="25.8" x14ac:dyDescent="0.3">
      <c r="A21" s="70">
        <v>10</v>
      </c>
      <c r="B21" s="71">
        <v>100000</v>
      </c>
      <c r="C21" s="72">
        <v>47621</v>
      </c>
      <c r="D21" s="73">
        <v>68317000050675</v>
      </c>
      <c r="E21" s="72" t="s">
        <v>74</v>
      </c>
      <c r="F21" s="72" t="s">
        <v>73</v>
      </c>
      <c r="G21" s="72" t="str">
        <f t="shared" si="0"/>
        <v>CIB</v>
      </c>
      <c r="H21" s="72" t="str">
        <f t="shared" si="1"/>
        <v>A-305</v>
      </c>
      <c r="I21" s="74"/>
      <c r="J21" s="75"/>
      <c r="K21" s="76"/>
    </row>
    <row r="22" spans="1:11" ht="25.8" x14ac:dyDescent="0.3">
      <c r="A22" s="70">
        <v>11</v>
      </c>
      <c r="B22" s="71">
        <v>204000</v>
      </c>
      <c r="C22" s="72">
        <v>47713</v>
      </c>
      <c r="D22" s="73">
        <v>68317000050657</v>
      </c>
      <c r="E22" s="72" t="s">
        <v>74</v>
      </c>
      <c r="F22" s="72" t="s">
        <v>73</v>
      </c>
      <c r="G22" s="72" t="str">
        <f t="shared" si="0"/>
        <v>CIB</v>
      </c>
      <c r="H22" s="72" t="str">
        <f t="shared" si="1"/>
        <v>A-305</v>
      </c>
      <c r="I22" s="74"/>
      <c r="J22" s="75"/>
      <c r="K22" s="76"/>
    </row>
    <row r="23" spans="1:11" ht="25.8" x14ac:dyDescent="0.3">
      <c r="A23" s="70">
        <v>12</v>
      </c>
      <c r="B23" s="71">
        <v>100000</v>
      </c>
      <c r="C23" s="72">
        <v>47805</v>
      </c>
      <c r="D23" s="73">
        <v>68317000050676</v>
      </c>
      <c r="E23" s="72" t="s">
        <v>74</v>
      </c>
      <c r="F23" s="72" t="s">
        <v>73</v>
      </c>
      <c r="G23" s="72" t="str">
        <f t="shared" si="0"/>
        <v>CIB</v>
      </c>
      <c r="H23" s="72" t="str">
        <f t="shared" si="1"/>
        <v>A-305</v>
      </c>
      <c r="I23" s="74"/>
      <c r="J23" s="75"/>
      <c r="K23" s="76"/>
    </row>
    <row r="24" spans="1:11" ht="25.8" x14ac:dyDescent="0.3">
      <c r="A24" s="70">
        <v>13</v>
      </c>
      <c r="B24" s="71">
        <v>100000</v>
      </c>
      <c r="C24" s="72">
        <v>47897</v>
      </c>
      <c r="D24" s="73">
        <v>68317000050677</v>
      </c>
      <c r="E24" s="72" t="s">
        <v>74</v>
      </c>
      <c r="F24" s="72" t="s">
        <v>73</v>
      </c>
      <c r="G24" s="72" t="str">
        <f t="shared" si="0"/>
        <v>CIB</v>
      </c>
      <c r="H24" s="72" t="str">
        <f t="shared" si="1"/>
        <v>A-305</v>
      </c>
      <c r="I24" s="74"/>
      <c r="J24" s="75"/>
      <c r="K24" s="76"/>
    </row>
    <row r="25" spans="1:11" ht="25.8" x14ac:dyDescent="0.3">
      <c r="A25" s="70">
        <v>14</v>
      </c>
      <c r="B25" s="71">
        <v>100000</v>
      </c>
      <c r="C25" s="72">
        <v>47986</v>
      </c>
      <c r="D25" s="73">
        <v>68317000050678</v>
      </c>
      <c r="E25" s="72" t="s">
        <v>74</v>
      </c>
      <c r="F25" s="72" t="s">
        <v>73</v>
      </c>
      <c r="G25" s="72" t="str">
        <f t="shared" si="0"/>
        <v>CIB</v>
      </c>
      <c r="H25" s="72" t="str">
        <f t="shared" si="1"/>
        <v>A-305</v>
      </c>
      <c r="I25" s="74"/>
      <c r="J25" s="75"/>
      <c r="K25" s="76"/>
    </row>
    <row r="26" spans="1:11" ht="25.8" x14ac:dyDescent="0.3">
      <c r="A26" s="70">
        <v>15</v>
      </c>
      <c r="B26" s="71">
        <v>204000</v>
      </c>
      <c r="C26" s="72">
        <v>48078</v>
      </c>
      <c r="D26" s="73">
        <v>68317000050658</v>
      </c>
      <c r="E26" s="72" t="s">
        <v>74</v>
      </c>
      <c r="F26" s="72" t="s">
        <v>73</v>
      </c>
      <c r="G26" s="72" t="str">
        <f t="shared" si="0"/>
        <v>CIB</v>
      </c>
      <c r="H26" s="72" t="str">
        <f t="shared" si="1"/>
        <v>A-305</v>
      </c>
      <c r="I26" s="74"/>
      <c r="J26" s="75"/>
      <c r="K26" s="76"/>
    </row>
    <row r="27" spans="1:11" ht="25.8" x14ac:dyDescent="0.3">
      <c r="A27" s="70">
        <v>16</v>
      </c>
      <c r="B27" s="71">
        <v>100000</v>
      </c>
      <c r="C27" s="72">
        <v>48170</v>
      </c>
      <c r="D27" s="73">
        <v>68317000050679</v>
      </c>
      <c r="E27" s="72" t="s">
        <v>74</v>
      </c>
      <c r="F27" s="72" t="s">
        <v>73</v>
      </c>
      <c r="G27" s="72" t="str">
        <f t="shared" si="0"/>
        <v>CIB</v>
      </c>
      <c r="H27" s="72" t="str">
        <f t="shared" si="1"/>
        <v>A-305</v>
      </c>
      <c r="I27" s="74"/>
      <c r="J27" s="75"/>
      <c r="K27" s="76"/>
    </row>
    <row r="28" spans="1:11" ht="25.8" x14ac:dyDescent="0.3">
      <c r="A28" s="70">
        <v>17</v>
      </c>
      <c r="B28" s="71">
        <v>100000</v>
      </c>
      <c r="C28" s="72">
        <v>48262</v>
      </c>
      <c r="D28" s="73">
        <v>68317000050680</v>
      </c>
      <c r="E28" s="72" t="s">
        <v>74</v>
      </c>
      <c r="F28" s="72" t="s">
        <v>73</v>
      </c>
      <c r="G28" s="72" t="str">
        <f t="shared" si="0"/>
        <v>CIB</v>
      </c>
      <c r="H28" s="72" t="str">
        <f t="shared" si="1"/>
        <v>A-305</v>
      </c>
      <c r="I28" s="74"/>
      <c r="J28" s="75"/>
      <c r="K28" s="76"/>
    </row>
    <row r="29" spans="1:11" ht="25.8" x14ac:dyDescent="0.3">
      <c r="A29" s="70">
        <v>18</v>
      </c>
      <c r="B29" s="71">
        <v>100000</v>
      </c>
      <c r="C29" s="72">
        <v>48352</v>
      </c>
      <c r="D29" s="73">
        <v>68317000050681</v>
      </c>
      <c r="E29" s="72" t="s">
        <v>74</v>
      </c>
      <c r="F29" s="72" t="s">
        <v>73</v>
      </c>
      <c r="G29" s="72" t="str">
        <f t="shared" si="0"/>
        <v>CIB</v>
      </c>
      <c r="H29" s="72" t="str">
        <f t="shared" si="1"/>
        <v>A-305</v>
      </c>
      <c r="I29" s="74"/>
      <c r="J29" s="75"/>
      <c r="K29" s="76"/>
    </row>
    <row r="30" spans="1:11" ht="25.8" x14ac:dyDescent="0.3">
      <c r="A30" s="70">
        <v>19</v>
      </c>
      <c r="B30" s="71">
        <v>204000</v>
      </c>
      <c r="C30" s="72">
        <v>48444</v>
      </c>
      <c r="D30" s="73">
        <v>68317000050659</v>
      </c>
      <c r="E30" s="72" t="s">
        <v>74</v>
      </c>
      <c r="F30" s="72" t="s">
        <v>73</v>
      </c>
      <c r="G30" s="72" t="str">
        <f t="shared" si="0"/>
        <v>CIB</v>
      </c>
      <c r="H30" s="72" t="str">
        <f t="shared" si="1"/>
        <v>A-305</v>
      </c>
      <c r="I30" s="74"/>
      <c r="J30" s="75"/>
      <c r="K30" s="76"/>
    </row>
    <row r="31" spans="1:11" ht="25.8" x14ac:dyDescent="0.3">
      <c r="A31" s="70">
        <v>20</v>
      </c>
      <c r="B31" s="71">
        <v>100000</v>
      </c>
      <c r="C31" s="72">
        <v>48536</v>
      </c>
      <c r="D31" s="73">
        <v>68317000050682</v>
      </c>
      <c r="E31" s="72" t="s">
        <v>74</v>
      </c>
      <c r="F31" s="72" t="s">
        <v>73</v>
      </c>
      <c r="G31" s="72" t="str">
        <f t="shared" si="0"/>
        <v>CIB</v>
      </c>
      <c r="H31" s="72" t="str">
        <f t="shared" si="1"/>
        <v>A-305</v>
      </c>
      <c r="I31" s="74"/>
      <c r="J31" s="75"/>
      <c r="K31" s="76"/>
    </row>
    <row r="32" spans="1:11" ht="25.8" x14ac:dyDescent="0.3">
      <c r="A32" s="70">
        <v>21</v>
      </c>
      <c r="B32" s="71">
        <v>100000</v>
      </c>
      <c r="C32" s="72">
        <v>48628</v>
      </c>
      <c r="D32" s="73">
        <v>68317000050683</v>
      </c>
      <c r="E32" s="72" t="s">
        <v>74</v>
      </c>
      <c r="F32" s="72" t="s">
        <v>73</v>
      </c>
      <c r="G32" s="72" t="str">
        <f t="shared" si="0"/>
        <v>CIB</v>
      </c>
      <c r="H32" s="72" t="str">
        <f t="shared" si="1"/>
        <v>A-305</v>
      </c>
      <c r="I32" s="74"/>
      <c r="J32" s="75"/>
      <c r="K32" s="76"/>
    </row>
    <row r="33" spans="1:11" ht="25.8" x14ac:dyDescent="0.3">
      <c r="A33" s="70">
        <v>22</v>
      </c>
      <c r="B33" s="71">
        <v>100000</v>
      </c>
      <c r="C33" s="72">
        <v>48717</v>
      </c>
      <c r="D33" s="73">
        <v>68317000050684</v>
      </c>
      <c r="E33" s="72" t="s">
        <v>74</v>
      </c>
      <c r="F33" s="72" t="s">
        <v>73</v>
      </c>
      <c r="G33" s="72" t="str">
        <f t="shared" si="0"/>
        <v>CIB</v>
      </c>
      <c r="H33" s="72" t="str">
        <f t="shared" si="1"/>
        <v>A-305</v>
      </c>
      <c r="I33" s="74"/>
      <c r="J33" s="75"/>
      <c r="K33" s="76"/>
    </row>
    <row r="34" spans="1:11" ht="25.8" x14ac:dyDescent="0.3">
      <c r="A34" s="70">
        <v>23</v>
      </c>
      <c r="B34" s="71">
        <v>204000</v>
      </c>
      <c r="C34" s="72">
        <v>48809</v>
      </c>
      <c r="D34" s="73">
        <v>68317000050660</v>
      </c>
      <c r="E34" s="72" t="s">
        <v>74</v>
      </c>
      <c r="F34" s="72" t="s">
        <v>73</v>
      </c>
      <c r="G34" s="72" t="str">
        <f t="shared" si="0"/>
        <v>CIB</v>
      </c>
      <c r="H34" s="72" t="str">
        <f t="shared" si="1"/>
        <v>A-305</v>
      </c>
      <c r="I34" s="74"/>
      <c r="J34" s="75"/>
      <c r="K34" s="76"/>
    </row>
    <row r="35" spans="1:11" ht="25.8" x14ac:dyDescent="0.3">
      <c r="A35" s="70">
        <v>24</v>
      </c>
      <c r="B35" s="71">
        <v>100000</v>
      </c>
      <c r="C35" s="72">
        <v>48901</v>
      </c>
      <c r="D35" s="73">
        <v>68317000050685</v>
      </c>
      <c r="E35" s="72" t="s">
        <v>74</v>
      </c>
      <c r="F35" s="72" t="s">
        <v>73</v>
      </c>
      <c r="G35" s="72" t="str">
        <f t="shared" si="0"/>
        <v>CIB</v>
      </c>
      <c r="H35" s="72" t="str">
        <f t="shared" si="1"/>
        <v>A-305</v>
      </c>
      <c r="I35" s="74"/>
      <c r="J35" s="75"/>
      <c r="K35" s="76"/>
    </row>
    <row r="36" spans="1:11" ht="25.8" x14ac:dyDescent="0.3">
      <c r="A36" s="70">
        <v>25</v>
      </c>
      <c r="B36" s="71">
        <v>100000</v>
      </c>
      <c r="C36" s="72">
        <v>48993</v>
      </c>
      <c r="D36" s="73">
        <v>68317000050686</v>
      </c>
      <c r="E36" s="72" t="s">
        <v>74</v>
      </c>
      <c r="F36" s="72" t="s">
        <v>73</v>
      </c>
      <c r="G36" s="72" t="str">
        <f t="shared" si="0"/>
        <v>CIB</v>
      </c>
      <c r="H36" s="72" t="str">
        <f t="shared" si="1"/>
        <v>A-305</v>
      </c>
      <c r="I36" s="74"/>
      <c r="J36" s="75"/>
      <c r="K36" s="76"/>
    </row>
    <row r="37" spans="1:11" ht="25.8" x14ac:dyDescent="0.3">
      <c r="A37" s="70">
        <v>26</v>
      </c>
      <c r="B37" s="71">
        <v>100000</v>
      </c>
      <c r="C37" s="72">
        <v>49082</v>
      </c>
      <c r="D37" s="73">
        <v>68317000050687</v>
      </c>
      <c r="E37" s="72" t="s">
        <v>74</v>
      </c>
      <c r="F37" s="72" t="s">
        <v>73</v>
      </c>
      <c r="G37" s="72" t="str">
        <f t="shared" si="0"/>
        <v>CIB</v>
      </c>
      <c r="H37" s="72" t="str">
        <f t="shared" si="1"/>
        <v>A-305</v>
      </c>
      <c r="I37" s="74"/>
      <c r="J37" s="75"/>
      <c r="K37" s="76"/>
    </row>
    <row r="38" spans="1:11" ht="25.8" x14ac:dyDescent="0.3">
      <c r="A38" s="70">
        <v>27</v>
      </c>
      <c r="B38" s="71">
        <v>204000</v>
      </c>
      <c r="C38" s="72">
        <v>49174</v>
      </c>
      <c r="D38" s="73">
        <v>68317000050661</v>
      </c>
      <c r="E38" s="72" t="s">
        <v>74</v>
      </c>
      <c r="F38" s="72" t="s">
        <v>73</v>
      </c>
      <c r="G38" s="72" t="str">
        <f t="shared" si="0"/>
        <v>CIB</v>
      </c>
      <c r="H38" s="72" t="str">
        <f t="shared" si="1"/>
        <v>A-305</v>
      </c>
      <c r="I38" s="74"/>
      <c r="J38" s="75"/>
      <c r="K38" s="76"/>
    </row>
    <row r="39" spans="1:11" ht="25.8" x14ac:dyDescent="0.3">
      <c r="A39" s="70">
        <v>28</v>
      </c>
      <c r="B39" s="71">
        <v>100000</v>
      </c>
      <c r="C39" s="72">
        <v>49266</v>
      </c>
      <c r="D39" s="73">
        <v>68317000050688</v>
      </c>
      <c r="E39" s="72" t="s">
        <v>74</v>
      </c>
      <c r="F39" s="72" t="s">
        <v>73</v>
      </c>
      <c r="G39" s="72" t="str">
        <f t="shared" si="0"/>
        <v>CIB</v>
      </c>
      <c r="H39" s="72" t="str">
        <f t="shared" si="1"/>
        <v>A-305</v>
      </c>
      <c r="I39" s="74"/>
      <c r="J39" s="75"/>
      <c r="K39" s="76"/>
    </row>
    <row r="40" spans="1:11" ht="25.8" x14ac:dyDescent="0.3">
      <c r="A40" s="70">
        <v>29</v>
      </c>
      <c r="B40" s="71">
        <v>100000</v>
      </c>
      <c r="C40" s="72">
        <v>49358</v>
      </c>
      <c r="D40" s="73">
        <v>68317000050689</v>
      </c>
      <c r="E40" s="72" t="s">
        <v>74</v>
      </c>
      <c r="F40" s="72" t="s">
        <v>73</v>
      </c>
      <c r="G40" s="72" t="str">
        <f t="shared" si="0"/>
        <v>CIB</v>
      </c>
      <c r="H40" s="72" t="str">
        <f t="shared" si="1"/>
        <v>A-305</v>
      </c>
      <c r="I40" s="74"/>
      <c r="J40" s="75"/>
      <c r="K40" s="76"/>
    </row>
    <row r="41" spans="1:11" ht="25.8" x14ac:dyDescent="0.3">
      <c r="A41" s="70">
        <v>30</v>
      </c>
      <c r="B41" s="71">
        <v>100000</v>
      </c>
      <c r="C41" s="72">
        <v>49447</v>
      </c>
      <c r="D41" s="73">
        <v>68317000050690</v>
      </c>
      <c r="E41" s="72" t="s">
        <v>74</v>
      </c>
      <c r="F41" s="72" t="s">
        <v>73</v>
      </c>
      <c r="G41" s="72" t="str">
        <f t="shared" si="0"/>
        <v>CIB</v>
      </c>
      <c r="H41" s="72" t="str">
        <f t="shared" si="1"/>
        <v>A-305</v>
      </c>
      <c r="I41" s="74"/>
      <c r="J41" s="75"/>
      <c r="K41" s="76"/>
    </row>
    <row r="42" spans="1:11" ht="25.8" x14ac:dyDescent="0.3">
      <c r="A42" s="70">
        <v>31</v>
      </c>
      <c r="B42" s="71">
        <v>204000</v>
      </c>
      <c r="C42" s="72">
        <v>49539</v>
      </c>
      <c r="D42" s="73">
        <v>68317000050662</v>
      </c>
      <c r="E42" s="72" t="s">
        <v>74</v>
      </c>
      <c r="F42" s="72" t="s">
        <v>73</v>
      </c>
      <c r="G42" s="72" t="str">
        <f t="shared" si="0"/>
        <v>CIB</v>
      </c>
      <c r="H42" s="72" t="str">
        <f t="shared" si="1"/>
        <v>A-305</v>
      </c>
      <c r="I42" s="74"/>
      <c r="J42" s="75"/>
      <c r="K42" s="76"/>
    </row>
    <row r="43" spans="1:11" ht="25.8" x14ac:dyDescent="0.3">
      <c r="A43" s="70">
        <v>32</v>
      </c>
      <c r="B43" s="71">
        <v>100000</v>
      </c>
      <c r="C43" s="72">
        <v>49631</v>
      </c>
      <c r="D43" s="73">
        <v>68317000050691</v>
      </c>
      <c r="E43" s="72" t="s">
        <v>74</v>
      </c>
      <c r="F43" s="72" t="s">
        <v>73</v>
      </c>
      <c r="G43" s="72" t="str">
        <f t="shared" si="0"/>
        <v>CIB</v>
      </c>
      <c r="H43" s="72" t="str">
        <f t="shared" si="1"/>
        <v>A-305</v>
      </c>
      <c r="I43" s="74"/>
      <c r="J43" s="75"/>
      <c r="K43" s="76"/>
    </row>
    <row r="44" spans="1:11" ht="25.8" x14ac:dyDescent="0.3">
      <c r="A44" s="70">
        <v>33</v>
      </c>
      <c r="B44" s="71">
        <v>100000</v>
      </c>
      <c r="C44" s="72">
        <v>49723</v>
      </c>
      <c r="D44" s="73">
        <v>68317000050692</v>
      </c>
      <c r="E44" s="72" t="s">
        <v>74</v>
      </c>
      <c r="F44" s="72" t="s">
        <v>73</v>
      </c>
      <c r="G44" s="72" t="str">
        <f t="shared" si="0"/>
        <v>CIB</v>
      </c>
      <c r="H44" s="72" t="str">
        <f t="shared" si="1"/>
        <v>A-305</v>
      </c>
      <c r="I44" s="74"/>
      <c r="J44" s="75"/>
      <c r="K44" s="76"/>
    </row>
    <row r="45" spans="1:11" ht="25.8" x14ac:dyDescent="0.3">
      <c r="A45" s="70">
        <v>34</v>
      </c>
      <c r="B45" s="71">
        <v>100000</v>
      </c>
      <c r="C45" s="72">
        <v>49813</v>
      </c>
      <c r="D45" s="73">
        <v>68317000050693</v>
      </c>
      <c r="E45" s="72" t="s">
        <v>74</v>
      </c>
      <c r="F45" s="72" t="s">
        <v>73</v>
      </c>
      <c r="G45" s="72" t="str">
        <f t="shared" si="0"/>
        <v>CIB</v>
      </c>
      <c r="H45" s="72" t="str">
        <f t="shared" si="1"/>
        <v>A-305</v>
      </c>
      <c r="I45" s="74"/>
      <c r="J45" s="75"/>
      <c r="K45" s="76"/>
    </row>
    <row r="46" spans="1:11" ht="25.8" x14ac:dyDescent="0.3">
      <c r="A46" s="70">
        <v>35</v>
      </c>
      <c r="B46" s="71">
        <v>204000</v>
      </c>
      <c r="C46" s="72">
        <v>49905</v>
      </c>
      <c r="D46" s="73">
        <v>68317000050663</v>
      </c>
      <c r="E46" s="72" t="s">
        <v>74</v>
      </c>
      <c r="F46" s="72" t="s">
        <v>73</v>
      </c>
      <c r="G46" s="72" t="str">
        <f t="shared" si="0"/>
        <v>CIB</v>
      </c>
      <c r="H46" s="72" t="str">
        <f t="shared" si="1"/>
        <v>A-305</v>
      </c>
      <c r="I46" s="74"/>
      <c r="J46" s="75"/>
      <c r="K46" s="76"/>
    </row>
    <row r="47" spans="1:11" ht="25.8" x14ac:dyDescent="0.3">
      <c r="A47" s="45"/>
      <c r="B47" s="46"/>
      <c r="C47" s="46"/>
      <c r="D47" s="47"/>
      <c r="E47" s="48"/>
      <c r="F47" s="73"/>
      <c r="G47" s="45"/>
      <c r="H47" s="2"/>
      <c r="I47" s="46"/>
      <c r="J47" s="2"/>
      <c r="K47" s="2"/>
    </row>
    <row r="48" spans="1:11" ht="29.4" thickBot="1" x14ac:dyDescent="0.35">
      <c r="A48" s="50"/>
      <c r="B48" s="84">
        <f>SUM(B12:B47)</f>
        <v>4540000</v>
      </c>
      <c r="C48" s="84"/>
      <c r="D48" s="51"/>
      <c r="E48" s="52"/>
      <c r="F48" s="77"/>
      <c r="G48" s="54"/>
      <c r="H48" s="55"/>
      <c r="I48" s="56"/>
      <c r="J48" s="55"/>
      <c r="K48" s="55"/>
    </row>
    <row r="49" spans="1:11" ht="21.6" thickTop="1" x14ac:dyDescent="0.4">
      <c r="A49" s="16"/>
      <c r="D49" s="47"/>
      <c r="E49" s="57"/>
      <c r="F49" s="49"/>
      <c r="I49" s="16"/>
    </row>
    <row r="50" spans="1:11" ht="62.55" customHeight="1" x14ac:dyDescent="0.55000000000000004">
      <c r="A50" s="85" t="s">
        <v>45</v>
      </c>
      <c r="B50" s="85"/>
      <c r="C50" s="85"/>
      <c r="D50" s="85"/>
      <c r="E50" s="85"/>
      <c r="F50" s="85"/>
      <c r="G50" s="59"/>
      <c r="H50" s="59"/>
      <c r="I50" s="58"/>
      <c r="J50" s="59"/>
      <c r="K50" s="59"/>
    </row>
    <row r="51" spans="1:11" ht="55.95" customHeight="1" x14ac:dyDescent="0.3">
      <c r="A51" s="85" t="s">
        <v>46</v>
      </c>
      <c r="B51" s="85"/>
      <c r="C51" s="85"/>
      <c r="D51" s="85"/>
      <c r="E51" s="85"/>
      <c r="F51" s="85"/>
    </row>
  </sheetData>
  <mergeCells count="9">
    <mergeCell ref="B48:C48"/>
    <mergeCell ref="A50:F50"/>
    <mergeCell ref="A51:F51"/>
    <mergeCell ref="A1:I1"/>
    <mergeCell ref="J1:K1"/>
    <mergeCell ref="B3:C3"/>
    <mergeCell ref="D3:E3"/>
    <mergeCell ref="J3:K3"/>
    <mergeCell ref="B7:E7"/>
  </mergeCells>
  <phoneticPr fontId="14" type="noConversion"/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الاسماء</vt:lpstr>
      <vt:lpstr>مصطفي محمد مؤمن </vt:lpstr>
      <vt:lpstr>محمد فرج يوسف حموده</vt:lpstr>
      <vt:lpstr>عبدالرحمن محمد عبدالعزيز </vt:lpstr>
      <vt:lpstr>زياد عبدالرازق محمد مشالي</vt:lpstr>
      <vt:lpstr>داليا يونس حسن مهني</vt:lpstr>
      <vt:lpstr>ايمان جوده </vt:lpstr>
      <vt:lpstr>احمد السيد عبداللطيف</vt:lpstr>
      <vt:lpstr>محمود عبدالعزيز عزتلي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Mohamed</dc:creator>
  <cp:lastModifiedBy>asd</cp:lastModifiedBy>
  <cp:lastPrinted>2026-10-13T09:01:32Z</cp:lastPrinted>
  <dcterms:created xsi:type="dcterms:W3CDTF">2015-06-05T18:17:20Z</dcterms:created>
  <dcterms:modified xsi:type="dcterms:W3CDTF">2026-10-13T09:25:55Z</dcterms:modified>
</cp:coreProperties>
</file>