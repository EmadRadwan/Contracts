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S\Downloads\"/>
    </mc:Choice>
  </mc:AlternateContent>
  <xr:revisionPtr revIDLastSave="0" documentId="13_ncr:1_{378645B5-A85B-4437-987E-AABE7504496D}" xr6:coauthVersionLast="47" xr6:coauthVersionMax="47" xr10:uidLastSave="{00000000-0000-0000-0000-000000000000}"/>
  <bookViews>
    <workbookView xWindow="-120" yWindow="-120" windowWidth="20730" windowHeight="11310" xr2:uid="{0FEF0487-5589-4319-AC9A-5FFBCC1BC42D}"/>
  </bookViews>
  <sheets>
    <sheet name="شاشة العمولة" sheetId="2" r:id="rId1"/>
    <sheet name="فورم اعتماد العمولة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C26" i="1"/>
  <c r="C24" i="1"/>
  <c r="G19" i="2" l="1"/>
  <c r="G20" i="2" l="1"/>
  <c r="G21" i="2"/>
  <c r="G22" i="2" s="1"/>
  <c r="E6" i="2" l="1"/>
  <c r="B37" i="1"/>
  <c r="B35" i="1"/>
  <c r="B33" i="1"/>
  <c r="B31" i="1"/>
  <c r="C22" i="1"/>
  <c r="C23" i="1" s="1"/>
  <c r="D17" i="1"/>
  <c r="B18" i="1" s="1"/>
  <c r="D18" i="1" s="1"/>
  <c r="B15" i="1"/>
  <c r="D15" i="1" s="1"/>
  <c r="D14" i="1"/>
  <c r="D8" i="1"/>
  <c r="D5" i="1"/>
  <c r="C25" i="1" l="1"/>
</calcChain>
</file>

<file path=xl/sharedStrings.xml><?xml version="1.0" encoding="utf-8"?>
<sst xmlns="http://schemas.openxmlformats.org/spreadsheetml/2006/main" count="113" uniqueCount="77">
  <si>
    <t>نموذج اعتماد عمولة بيع</t>
  </si>
  <si>
    <t>A7-42</t>
  </si>
  <si>
    <t xml:space="preserve">بيع مباشر </t>
  </si>
  <si>
    <t>مشروع نسيم</t>
  </si>
  <si>
    <t>بيع غير مباشر</t>
  </si>
  <si>
    <t>بيانات العميل</t>
  </si>
  <si>
    <t>اسم العميل</t>
  </si>
  <si>
    <t>رقم الوحدة</t>
  </si>
  <si>
    <t>المشروع</t>
  </si>
  <si>
    <t>سعر البيع</t>
  </si>
  <si>
    <t>تاريخ التعاقد</t>
  </si>
  <si>
    <t>تاريخ استلام المطالبة</t>
  </si>
  <si>
    <t>المبلغ المحصل</t>
  </si>
  <si>
    <t xml:space="preserve">  نسبة المبلغ المحصل</t>
  </si>
  <si>
    <t>بيانات الشركة المسوقة</t>
  </si>
  <si>
    <t>اسم الشركة المسوقة</t>
  </si>
  <si>
    <t>درفن للتسويق العقاري</t>
  </si>
  <si>
    <t xml:space="preserve">نسبة العمولة المستحقة </t>
  </si>
  <si>
    <t>اسم موظف المبيعات</t>
  </si>
  <si>
    <t>محمد احمد السيد علي محمد</t>
  </si>
  <si>
    <t>ضريبة الخصم والإضافة</t>
  </si>
  <si>
    <t>قيمة العمولة</t>
  </si>
  <si>
    <t>قيمة ضريبة الخصم والإضافة</t>
  </si>
  <si>
    <t>صافي العمولة المستحقة</t>
  </si>
  <si>
    <t>اسم مدير المبيعات</t>
  </si>
  <si>
    <t>احتساب العمولة الخاصة بالشركة الخارجية</t>
  </si>
  <si>
    <t>العمولة</t>
  </si>
  <si>
    <t>اصل العمولة بدون الضريبة</t>
  </si>
  <si>
    <t>الضريبة * 100 / 114</t>
  </si>
  <si>
    <t>ضريبة القيمة المضافة</t>
  </si>
  <si>
    <t>اجمالي العمولة المستحقة بعد رفع الفاتورة الضريبية</t>
  </si>
  <si>
    <t>بيانات فريق المبيعات - شركة جولدن لاند للتسويق العقاري</t>
  </si>
  <si>
    <t>قيمة العمولة المستحقة</t>
  </si>
  <si>
    <t>اسم موظف المبيعات الثاني ان وجد</t>
  </si>
  <si>
    <t>اسم مدير المبيعات الثاني ان وجد</t>
  </si>
  <si>
    <t>المستندات والمراجعة</t>
  </si>
  <si>
    <t>المستند</t>
  </si>
  <si>
    <t>الحالة</t>
  </si>
  <si>
    <t>استمارة الحجز</t>
  </si>
  <si>
    <t>صورة الهوية / الإقامة عميل داخل الدولة</t>
  </si>
  <si>
    <t>صورة السجل التجاري والبطاقة الضريبية</t>
  </si>
  <si>
    <t>صورة الهوية / الإقامة عميل خارج الدولة</t>
  </si>
  <si>
    <t>توقيع عقد البيع من الطرفين</t>
  </si>
  <si>
    <t>استلام شيكات بقيمة المبيع</t>
  </si>
  <si>
    <t>رفع الفاتورة الضريبية</t>
  </si>
  <si>
    <t>اعفاء ضريبة الخصم والاضافة</t>
  </si>
  <si>
    <t>إدارة المبيعات</t>
  </si>
  <si>
    <t>الإدارة المالية</t>
  </si>
  <si>
    <t>شاشة العمولة</t>
  </si>
  <si>
    <t>طريقة البيع</t>
  </si>
  <si>
    <t>مباشر</t>
  </si>
  <si>
    <t>غير مباشر</t>
  </si>
  <si>
    <t>نسبة السيلز</t>
  </si>
  <si>
    <t>نسبة المدير</t>
  </si>
  <si>
    <t>نسبة السيلز الخارجي</t>
  </si>
  <si>
    <t>نسبة الشركة الخارجية</t>
  </si>
  <si>
    <t>الإدارة</t>
  </si>
  <si>
    <t>لا توجد عمولة</t>
  </si>
  <si>
    <t>نسبة السيلز الداخلى</t>
  </si>
  <si>
    <t>نسبة المدير الداخلى</t>
  </si>
  <si>
    <t>A6-05</t>
  </si>
  <si>
    <t>شخصى</t>
  </si>
  <si>
    <t>اجمالى العمولات  الداخلية</t>
  </si>
  <si>
    <t>احمالى العمولات  الخارجية</t>
  </si>
  <si>
    <t>اجمالى العمولات</t>
  </si>
  <si>
    <t>الاجمالى</t>
  </si>
  <si>
    <t>عند صرف الشركات الخارجية</t>
  </si>
  <si>
    <t>العمولة ( شاملة الضريبة )</t>
  </si>
  <si>
    <t>البيان</t>
  </si>
  <si>
    <t>نسبة العمولة</t>
  </si>
  <si>
    <t>المبلغ</t>
  </si>
  <si>
    <t>اعفاء ضريبي</t>
  </si>
  <si>
    <t>يوجد شهادة اعفاء</t>
  </si>
  <si>
    <t>يتم الصرف</t>
  </si>
  <si>
    <t>لا يوجد شهادة اعفاء</t>
  </si>
  <si>
    <t>يتم الخصم</t>
  </si>
  <si>
    <t>5% للسلز الخارجي و الشركات الخارجية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</si>
</sst>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22"/>
      <name val="Calibri"/>
      <family val="2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6" fillId="0" borderId="0" xfId="0" applyFont="1" applyAlignment="1">
      <alignment horizontal="right" vertical="center" indent="4"/>
    </xf>
    <xf numFmtId="0" fontId="7" fillId="0" borderId="0" xfId="0" applyFont="1" applyAlignment="1">
      <alignment horizontal="right" indent="6"/>
    </xf>
    <xf numFmtId="0" fontId="8" fillId="3" borderId="2" xfId="0" applyFont="1" applyFill="1" applyBorder="1" applyAlignment="1">
      <alignment horizontal="right" vertical="center" indent="1"/>
    </xf>
    <xf numFmtId="0" fontId="10" fillId="0" borderId="2" xfId="0" applyFont="1" applyBorder="1" applyAlignment="1">
      <alignment horizontal="right" vertical="center" indent="1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2" xfId="0" applyFont="1" applyBorder="1" applyAlignment="1">
      <alignment horizontal="right" vertical="center" indent="1"/>
    </xf>
    <xf numFmtId="43" fontId="6" fillId="0" borderId="2" xfId="1" applyFont="1" applyBorder="1" applyAlignment="1">
      <alignment vertical="center"/>
    </xf>
    <xf numFmtId="14" fontId="6" fillId="0" borderId="2" xfId="0" applyNumberFormat="1" applyFont="1" applyBorder="1" applyAlignment="1">
      <alignment horizontal="right" vertical="center" indent="1"/>
    </xf>
    <xf numFmtId="0" fontId="8" fillId="3" borderId="2" xfId="0" applyFont="1" applyFill="1" applyBorder="1" applyAlignment="1">
      <alignment vertical="center"/>
    </xf>
    <xf numFmtId="10" fontId="6" fillId="0" borderId="2" xfId="2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right" vertical="center" indent="1"/>
    </xf>
    <xf numFmtId="0" fontId="12" fillId="4" borderId="2" xfId="0" applyFont="1" applyFill="1" applyBorder="1" applyAlignment="1">
      <alignment horizontal="right" vertical="center" indent="1"/>
    </xf>
    <xf numFmtId="10" fontId="6" fillId="0" borderId="2" xfId="2" applyNumberFormat="1" applyFont="1" applyBorder="1" applyAlignment="1">
      <alignment horizontal="right" vertical="center" indent="1"/>
    </xf>
    <xf numFmtId="43" fontId="6" fillId="0" borderId="2" xfId="0" applyNumberFormat="1" applyFont="1" applyBorder="1" applyAlignment="1">
      <alignment horizontal="right" vertical="center"/>
    </xf>
    <xf numFmtId="43" fontId="7" fillId="4" borderId="2" xfId="2" applyNumberFormat="1" applyFont="1" applyFill="1" applyBorder="1" applyAlignment="1">
      <alignment horizontal="center" vertical="center"/>
    </xf>
    <xf numFmtId="39" fontId="6" fillId="0" borderId="2" xfId="1" applyNumberFormat="1" applyFont="1" applyBorder="1" applyAlignment="1">
      <alignment horizontal="center" vertical="center"/>
    </xf>
    <xf numFmtId="0" fontId="0" fillId="0" borderId="2" xfId="0" applyBorder="1"/>
    <xf numFmtId="39" fontId="7" fillId="4" borderId="2" xfId="1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right" vertical="center" indent="1"/>
    </xf>
    <xf numFmtId="39" fontId="11" fillId="4" borderId="2" xfId="1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right" vertical="center" indent="1" shrinkToFit="1"/>
    </xf>
    <xf numFmtId="0" fontId="13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 indent="2"/>
    </xf>
    <xf numFmtId="0" fontId="14" fillId="3" borderId="2" xfId="0" applyFont="1" applyFill="1" applyBorder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11" fillId="0" borderId="2" xfId="0" applyFont="1" applyBorder="1" applyAlignment="1">
      <alignment horizontal="right" vertical="center" indent="1"/>
    </xf>
    <xf numFmtId="0" fontId="12" fillId="3" borderId="2" xfId="0" applyFont="1" applyFill="1" applyBorder="1" applyAlignment="1">
      <alignment vertical="center"/>
    </xf>
    <xf numFmtId="0" fontId="15" fillId="0" borderId="3" xfId="0" applyFont="1" applyBorder="1" applyAlignment="1">
      <alignment horizontal="centerContinuous" vertical="center"/>
    </xf>
    <xf numFmtId="0" fontId="15" fillId="0" borderId="4" xfId="0" applyFont="1" applyBorder="1" applyAlignment="1">
      <alignment horizontal="centerContinuous" vertical="center"/>
    </xf>
    <xf numFmtId="0" fontId="0" fillId="0" borderId="3" xfId="0" applyBorder="1" applyAlignment="1">
      <alignment horizontal="centerContinuous"/>
    </xf>
    <xf numFmtId="0" fontId="15" fillId="0" borderId="0" xfId="0" applyFont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0" fillId="0" borderId="0" xfId="0" applyAlignment="1">
      <alignment horizontal="centerContinuous"/>
    </xf>
    <xf numFmtId="0" fontId="6" fillId="0" borderId="6" xfId="0" applyFont="1" applyBorder="1" applyAlignment="1">
      <alignment horizontal="right" vertical="center" indent="1"/>
    </xf>
    <xf numFmtId="0" fontId="6" fillId="0" borderId="7" xfId="0" applyFont="1" applyBorder="1" applyAlignment="1">
      <alignment horizontal="right" vertical="center" indent="1"/>
    </xf>
    <xf numFmtId="0" fontId="6" fillId="0" borderId="6" xfId="0" applyFont="1" applyBorder="1" applyAlignment="1">
      <alignment vertical="center"/>
    </xf>
    <xf numFmtId="0" fontId="0" fillId="0" borderId="6" xfId="0" applyBorder="1"/>
    <xf numFmtId="0" fontId="8" fillId="2" borderId="0" xfId="0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8" fillId="3" borderId="0" xfId="0" applyFont="1" applyFill="1" applyAlignment="1">
      <alignment horizontal="right" indent="1"/>
    </xf>
    <xf numFmtId="0" fontId="9" fillId="0" borderId="0" xfId="0" applyFont="1" applyAlignment="1">
      <alignment horizontal="right" indent="1"/>
    </xf>
    <xf numFmtId="0" fontId="17" fillId="4" borderId="0" xfId="0" applyFont="1" applyFill="1"/>
    <xf numFmtId="0" fontId="17" fillId="0" borderId="0" xfId="0" applyFont="1"/>
    <xf numFmtId="0" fontId="17" fillId="5" borderId="0" xfId="0" applyFont="1" applyFill="1"/>
    <xf numFmtId="0" fontId="17" fillId="6" borderId="0" xfId="0" applyFont="1" applyFill="1"/>
    <xf numFmtId="0" fontId="17" fillId="7" borderId="0" xfId="0" applyFont="1" applyFill="1"/>
    <xf numFmtId="10" fontId="17" fillId="4" borderId="0" xfId="0" applyNumberFormat="1" applyFont="1" applyFill="1"/>
    <xf numFmtId="10" fontId="17" fillId="5" borderId="0" xfId="0" applyNumberFormat="1" applyFont="1" applyFill="1"/>
    <xf numFmtId="10" fontId="17" fillId="6" borderId="0" xfId="0" applyNumberFormat="1" applyFont="1" applyFill="1"/>
    <xf numFmtId="0" fontId="0" fillId="8" borderId="0" xfId="0" applyFill="1"/>
    <xf numFmtId="43" fontId="0" fillId="0" borderId="0" xfId="1" applyFont="1"/>
    <xf numFmtId="43" fontId="0" fillId="8" borderId="0" xfId="1" applyFont="1" applyFill="1"/>
    <xf numFmtId="0" fontId="0" fillId="9" borderId="0" xfId="0" applyFill="1"/>
    <xf numFmtId="43" fontId="0" fillId="9" borderId="0" xfId="1" applyFont="1" applyFill="1"/>
    <xf numFmtId="0" fontId="18" fillId="0" borderId="0" xfId="0" applyFont="1"/>
    <xf numFmtId="0" fontId="10" fillId="0" borderId="0" xfId="0" applyFont="1"/>
    <xf numFmtId="10" fontId="10" fillId="9" borderId="0" xfId="2" applyNumberFormat="1" applyFont="1" applyFill="1"/>
    <xf numFmtId="10" fontId="10" fillId="8" borderId="0" xfId="2" applyNumberFormat="1" applyFont="1" applyFill="1"/>
    <xf numFmtId="0" fontId="16" fillId="9" borderId="0" xfId="0" applyFont="1" applyFill="1"/>
    <xf numFmtId="0" fontId="16" fillId="10" borderId="0" xfId="0" applyFont="1" applyFill="1"/>
    <xf numFmtId="0" fontId="19" fillId="0" borderId="0" xfId="0" applyFont="1"/>
    <xf numFmtId="0" fontId="20" fillId="3" borderId="2" xfId="0" applyFont="1" applyFill="1" applyBorder="1" applyAlignment="1">
      <alignment horizontal="right" vertical="center" indent="1"/>
    </xf>
    <xf numFmtId="0" fontId="0" fillId="0" borderId="0" xfId="0" applyFont="1"/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 indent="1"/>
    </xf>
    <xf numFmtId="43" fontId="16" fillId="0" borderId="2" xfId="1" applyFont="1" applyBorder="1" applyAlignment="1">
      <alignment vertical="center"/>
    </xf>
    <xf numFmtId="0" fontId="20" fillId="3" borderId="2" xfId="0" applyFont="1" applyFill="1" applyBorder="1" applyAlignment="1">
      <alignment vertical="center"/>
    </xf>
    <xf numFmtId="10" fontId="16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57150</xdr:rowOff>
        </xdr:from>
        <xdr:to>
          <xdr:col>3</xdr:col>
          <xdr:colOff>285750</xdr:colOff>
          <xdr:row>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285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1</xdr:row>
          <xdr:rowOff>57150</xdr:rowOff>
        </xdr:from>
        <xdr:to>
          <xdr:col>3</xdr:col>
          <xdr:colOff>285750</xdr:colOff>
          <xdr:row>1</xdr:row>
          <xdr:rowOff>285750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69A2-3C76-476C-9871-382408B30F0B}">
  <dimension ref="A1:J23"/>
  <sheetViews>
    <sheetView rightToLeft="1" tabSelected="1" zoomScale="80" zoomScaleNormal="80" workbookViewId="0">
      <selection activeCell="M14" sqref="M14"/>
    </sheetView>
  </sheetViews>
  <sheetFormatPr defaultRowHeight="15" x14ac:dyDescent="0.25"/>
  <cols>
    <col min="1" max="1" width="20.140625" bestFit="1" customWidth="1"/>
    <col min="3" max="5" width="20.7109375" customWidth="1"/>
    <col min="6" max="6" width="20.5703125" bestFit="1" customWidth="1"/>
    <col min="7" max="7" width="13.140625" bestFit="1" customWidth="1"/>
    <col min="8" max="8" width="24.85546875" bestFit="1" customWidth="1"/>
    <col min="9" max="9" width="30.140625" bestFit="1" customWidth="1"/>
    <col min="10" max="10" width="23" bestFit="1" customWidth="1"/>
    <col min="13" max="13" width="15.42578125" bestFit="1" customWidth="1"/>
    <col min="15" max="15" width="11" bestFit="1" customWidth="1"/>
  </cols>
  <sheetData>
    <row r="1" spans="1:9" s="66" customFormat="1" x14ac:dyDescent="0.25">
      <c r="D1" s="67" t="s">
        <v>48</v>
      </c>
      <c r="E1" s="68"/>
    </row>
    <row r="2" spans="1:9" s="66" customFormat="1" x14ac:dyDescent="0.2">
      <c r="D2" s="67" t="s">
        <v>7</v>
      </c>
      <c r="E2" s="69" t="s">
        <v>60</v>
      </c>
    </row>
    <row r="3" spans="1:9" s="66" customFormat="1" x14ac:dyDescent="0.2">
      <c r="D3" s="67" t="s">
        <v>8</v>
      </c>
      <c r="E3" s="70" t="s">
        <v>3</v>
      </c>
    </row>
    <row r="4" spans="1:9" s="66" customFormat="1" x14ac:dyDescent="0.2">
      <c r="D4" s="67" t="s">
        <v>9</v>
      </c>
      <c r="E4" s="71">
        <v>6843800</v>
      </c>
    </row>
    <row r="5" spans="1:9" s="66" customFormat="1" x14ac:dyDescent="0.2">
      <c r="D5" s="67" t="s">
        <v>12</v>
      </c>
      <c r="E5" s="71">
        <v>1000000</v>
      </c>
    </row>
    <row r="6" spans="1:9" s="66" customFormat="1" x14ac:dyDescent="0.2">
      <c r="D6" s="72" t="s">
        <v>13</v>
      </c>
      <c r="E6" s="73">
        <f>E5/E4</f>
        <v>0.14611765393494841</v>
      </c>
    </row>
    <row r="8" spans="1:9" x14ac:dyDescent="0.25">
      <c r="D8" s="67" t="s">
        <v>49</v>
      </c>
    </row>
    <row r="10" spans="1:9" s="48" customFormat="1" ht="18.75" x14ac:dyDescent="0.3">
      <c r="A10" s="47" t="s">
        <v>50</v>
      </c>
      <c r="B10" s="47"/>
      <c r="C10" s="49" t="s">
        <v>61</v>
      </c>
      <c r="D10" s="49"/>
      <c r="F10" s="50" t="s">
        <v>51</v>
      </c>
      <c r="G10" s="50"/>
      <c r="I10" s="51" t="s">
        <v>56</v>
      </c>
    </row>
    <row r="11" spans="1:9" s="48" customFormat="1" ht="18.75" x14ac:dyDescent="0.3">
      <c r="A11" s="47" t="s">
        <v>52</v>
      </c>
      <c r="B11" s="52">
        <v>0.01</v>
      </c>
      <c r="C11" s="49" t="s">
        <v>52</v>
      </c>
      <c r="D11" s="53">
        <v>1.4999999999999999E-2</v>
      </c>
      <c r="F11" s="50" t="s">
        <v>54</v>
      </c>
      <c r="G11" s="54">
        <v>1.4999999999999999E-2</v>
      </c>
      <c r="I11" s="51" t="s">
        <v>57</v>
      </c>
    </row>
    <row r="12" spans="1:9" s="48" customFormat="1" ht="18.75" x14ac:dyDescent="0.3">
      <c r="A12" s="47" t="s">
        <v>53</v>
      </c>
      <c r="B12" s="52">
        <v>5.0000000000000001E-3</v>
      </c>
      <c r="C12" s="49" t="s">
        <v>53</v>
      </c>
      <c r="D12" s="53">
        <v>7.4999999999999997E-3</v>
      </c>
      <c r="F12" s="50" t="s">
        <v>55</v>
      </c>
      <c r="G12" s="54">
        <v>3.5000000000000003E-2</v>
      </c>
    </row>
    <row r="13" spans="1:9" s="48" customFormat="1" ht="18.75" x14ac:dyDescent="0.3">
      <c r="A13" s="47" t="s">
        <v>65</v>
      </c>
      <c r="B13" s="52">
        <v>1.4999999999999999E-2</v>
      </c>
      <c r="C13" s="49" t="s">
        <v>65</v>
      </c>
      <c r="D13" s="53">
        <v>2.2499999999999999E-2</v>
      </c>
      <c r="F13" s="47" t="s">
        <v>58</v>
      </c>
      <c r="G13" s="52">
        <v>5.0000000000000001E-3</v>
      </c>
    </row>
    <row r="14" spans="1:9" s="48" customFormat="1" ht="18.75" x14ac:dyDescent="0.3">
      <c r="F14" s="47" t="s">
        <v>59</v>
      </c>
      <c r="G14" s="52">
        <v>2.5000000000000001E-3</v>
      </c>
    </row>
    <row r="15" spans="1:9" x14ac:dyDescent="0.25">
      <c r="I15" s="65" t="s">
        <v>62</v>
      </c>
    </row>
    <row r="16" spans="1:9" ht="18.75" x14ac:dyDescent="0.3">
      <c r="C16" s="61" t="s">
        <v>66</v>
      </c>
      <c r="D16" s="61"/>
      <c r="E16" s="61"/>
      <c r="I16" s="65" t="s">
        <v>63</v>
      </c>
    </row>
    <row r="17" spans="3:10" ht="18.75" x14ac:dyDescent="0.3">
      <c r="C17" s="61" t="s">
        <v>68</v>
      </c>
      <c r="D17" s="61" t="s">
        <v>71</v>
      </c>
      <c r="E17" s="61"/>
      <c r="F17" t="s">
        <v>69</v>
      </c>
      <c r="G17" t="s">
        <v>70</v>
      </c>
      <c r="I17" s="65" t="s">
        <v>64</v>
      </c>
    </row>
    <row r="18" spans="3:10" ht="18.75" x14ac:dyDescent="0.3">
      <c r="C18" s="55" t="s">
        <v>67</v>
      </c>
      <c r="D18" s="55"/>
      <c r="E18" s="55"/>
      <c r="F18" s="63">
        <v>3.5000000000000003E-2</v>
      </c>
      <c r="G18" s="57">
        <f>F18*E4</f>
        <v>239533.00000000003</v>
      </c>
    </row>
    <row r="19" spans="3:10" x14ac:dyDescent="0.25">
      <c r="C19" s="55" t="s">
        <v>27</v>
      </c>
      <c r="D19" s="55"/>
      <c r="E19" s="55"/>
      <c r="F19" s="55" t="s">
        <v>28</v>
      </c>
      <c r="G19" s="57">
        <f>G18*100/114</f>
        <v>210116.66666666669</v>
      </c>
    </row>
    <row r="20" spans="3:10" ht="18.75" x14ac:dyDescent="0.3">
      <c r="C20" s="58" t="s">
        <v>29</v>
      </c>
      <c r="D20" s="58"/>
      <c r="E20" s="58"/>
      <c r="F20" s="62">
        <v>0.14000000000000001</v>
      </c>
      <c r="G20" s="59">
        <f>G19*F20</f>
        <v>29416.333333333339</v>
      </c>
    </row>
    <row r="21" spans="3:10" ht="18.75" x14ac:dyDescent="0.3">
      <c r="C21" s="58" t="s">
        <v>20</v>
      </c>
      <c r="D21" s="58" t="s">
        <v>72</v>
      </c>
      <c r="E21" s="58" t="s">
        <v>73</v>
      </c>
      <c r="F21" s="62">
        <v>0.05</v>
      </c>
      <c r="G21" s="59">
        <f>G19*F21</f>
        <v>10505.833333333336</v>
      </c>
      <c r="H21" s="60"/>
      <c r="I21" s="64" t="s">
        <v>76</v>
      </c>
    </row>
    <row r="22" spans="3:10" x14ac:dyDescent="0.25">
      <c r="C22" t="s">
        <v>30</v>
      </c>
      <c r="G22" s="56">
        <f>G18-G21</f>
        <v>229027.16666666669</v>
      </c>
      <c r="I22" s="64" t="s">
        <v>72</v>
      </c>
      <c r="J22" s="64" t="s">
        <v>73</v>
      </c>
    </row>
    <row r="23" spans="3:10" x14ac:dyDescent="0.25">
      <c r="I23" s="64" t="s">
        <v>74</v>
      </c>
      <c r="J23" s="6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17FC-4A8D-4BBA-AF6F-0DD959F52D78}">
  <sheetPr>
    <pageSetUpPr fitToPage="1"/>
  </sheetPr>
  <dimension ref="A1:D52"/>
  <sheetViews>
    <sheetView rightToLeft="1" workbookViewId="0">
      <selection activeCell="A22" sqref="A22:C26"/>
    </sheetView>
  </sheetViews>
  <sheetFormatPr defaultRowHeight="15" x14ac:dyDescent="0.25"/>
  <cols>
    <col min="1" max="1" width="36.7109375" customWidth="1"/>
    <col min="2" max="2" width="36.28515625" customWidth="1"/>
    <col min="3" max="3" width="33.28515625" customWidth="1"/>
    <col min="4" max="4" width="19.5703125" bestFit="1" customWidth="1"/>
  </cols>
  <sheetData>
    <row r="1" spans="1:4" ht="28.9" customHeight="1" thickBot="1" x14ac:dyDescent="0.55000000000000004">
      <c r="A1" s="1" t="s">
        <v>0</v>
      </c>
      <c r="B1" s="2"/>
      <c r="C1" s="3" t="s">
        <v>1</v>
      </c>
      <c r="D1" s="4" t="s">
        <v>2</v>
      </c>
    </row>
    <row r="2" spans="1:4" ht="28.9" customHeight="1" x14ac:dyDescent="0.4">
      <c r="A2" s="2"/>
      <c r="B2" s="2"/>
      <c r="C2" s="5" t="s">
        <v>3</v>
      </c>
      <c r="D2" s="4" t="s">
        <v>4</v>
      </c>
    </row>
    <row r="3" spans="1:4" ht="21" x14ac:dyDescent="0.35">
      <c r="A3" s="43" t="s">
        <v>5</v>
      </c>
      <c r="B3" s="44"/>
      <c r="C3" s="44"/>
      <c r="D3" s="44"/>
    </row>
    <row r="4" spans="1:4" ht="6.6" customHeight="1" x14ac:dyDescent="0.25"/>
    <row r="5" spans="1:4" s="9" customFormat="1" ht="21" customHeight="1" x14ac:dyDescent="0.25">
      <c r="A5" s="6" t="s">
        <v>6</v>
      </c>
      <c r="B5" s="7"/>
      <c r="C5" s="6" t="s">
        <v>7</v>
      </c>
      <c r="D5" s="8" t="str">
        <f>C1</f>
        <v>A7-42</v>
      </c>
    </row>
    <row r="6" spans="1:4" s="9" customFormat="1" ht="21" customHeight="1" x14ac:dyDescent="0.25">
      <c r="A6" s="6" t="s">
        <v>8</v>
      </c>
      <c r="B6" s="10" t="s">
        <v>3</v>
      </c>
      <c r="C6" s="6" t="s">
        <v>9</v>
      </c>
      <c r="D6" s="11">
        <v>6843800</v>
      </c>
    </row>
    <row r="7" spans="1:4" s="9" customFormat="1" ht="21" customHeight="1" x14ac:dyDescent="0.25">
      <c r="A7" s="6" t="s">
        <v>10</v>
      </c>
      <c r="B7" s="12"/>
      <c r="C7" s="13" t="s">
        <v>11</v>
      </c>
      <c r="D7" s="12"/>
    </row>
    <row r="8" spans="1:4" s="9" customFormat="1" ht="21" customHeight="1" x14ac:dyDescent="0.25">
      <c r="A8" s="6" t="s">
        <v>12</v>
      </c>
      <c r="B8" s="11">
        <v>0</v>
      </c>
      <c r="C8" s="13" t="s">
        <v>13</v>
      </c>
      <c r="D8" s="14">
        <f>B8/D6</f>
        <v>0</v>
      </c>
    </row>
    <row r="9" spans="1:4" ht="6.6" customHeight="1" x14ac:dyDescent="0.25"/>
    <row r="10" spans="1:4" ht="21" x14ac:dyDescent="0.35">
      <c r="A10" s="43" t="s">
        <v>14</v>
      </c>
      <c r="B10" s="44"/>
      <c r="C10" s="44"/>
      <c r="D10" s="44"/>
    </row>
    <row r="11" spans="1:4" ht="6.6" customHeight="1" x14ac:dyDescent="0.25"/>
    <row r="12" spans="1:4" s="9" customFormat="1" ht="21" customHeight="1" x14ac:dyDescent="0.25">
      <c r="A12" s="15" t="s">
        <v>15</v>
      </c>
      <c r="B12" s="10" t="s">
        <v>16</v>
      </c>
      <c r="C12" s="15" t="s">
        <v>17</v>
      </c>
      <c r="D12" s="14">
        <v>3.5000000000000003E-2</v>
      </c>
    </row>
    <row r="13" spans="1:4" s="9" customFormat="1" ht="21" customHeight="1" x14ac:dyDescent="0.25">
      <c r="A13" s="16" t="s">
        <v>18</v>
      </c>
      <c r="B13" s="10" t="s">
        <v>19</v>
      </c>
      <c r="C13" s="15" t="s">
        <v>17</v>
      </c>
      <c r="D13" s="14">
        <v>0.01</v>
      </c>
    </row>
    <row r="14" spans="1:4" s="9" customFormat="1" ht="21" customHeight="1" x14ac:dyDescent="0.25">
      <c r="A14" s="15" t="s">
        <v>20</v>
      </c>
      <c r="B14" s="17">
        <v>0.05</v>
      </c>
      <c r="C14" s="15" t="s">
        <v>21</v>
      </c>
      <c r="D14" s="18">
        <f>D13*D6</f>
        <v>68438</v>
      </c>
    </row>
    <row r="15" spans="1:4" s="9" customFormat="1" ht="21" customHeight="1" x14ac:dyDescent="0.25">
      <c r="A15" s="15" t="s">
        <v>22</v>
      </c>
      <c r="B15" s="18">
        <f>D14*B14</f>
        <v>3421.9</v>
      </c>
      <c r="C15" s="15" t="s">
        <v>23</v>
      </c>
      <c r="D15" s="19">
        <f>ROUND(D14-B15,0)</f>
        <v>65016</v>
      </c>
    </row>
    <row r="16" spans="1:4" s="9" customFormat="1" ht="21" customHeight="1" x14ac:dyDescent="0.25">
      <c r="A16" s="16" t="s">
        <v>24</v>
      </c>
      <c r="B16" s="10" t="s">
        <v>19</v>
      </c>
      <c r="C16" s="15" t="s">
        <v>17</v>
      </c>
      <c r="D16" s="14">
        <v>5.0000000000000001E-3</v>
      </c>
    </row>
    <row r="17" spans="1:4" s="9" customFormat="1" ht="21" customHeight="1" x14ac:dyDescent="0.25">
      <c r="A17" s="15" t="s">
        <v>20</v>
      </c>
      <c r="B17" s="17">
        <v>0.05</v>
      </c>
      <c r="C17" s="15" t="s">
        <v>21</v>
      </c>
      <c r="D17" s="18">
        <f>D16*D6</f>
        <v>34219</v>
      </c>
    </row>
    <row r="18" spans="1:4" s="9" customFormat="1" ht="21" customHeight="1" x14ac:dyDescent="0.25">
      <c r="A18" s="15" t="s">
        <v>22</v>
      </c>
      <c r="B18" s="18">
        <f>D17*B17</f>
        <v>1710.95</v>
      </c>
      <c r="C18" s="15" t="s">
        <v>23</v>
      </c>
      <c r="D18" s="19">
        <f>ROUND(D17-B18,0)</f>
        <v>32508</v>
      </c>
    </row>
    <row r="19" spans="1:4" ht="6.6" customHeight="1" x14ac:dyDescent="0.25"/>
    <row r="20" spans="1:4" ht="21" x14ac:dyDescent="0.35">
      <c r="A20" s="43" t="s">
        <v>25</v>
      </c>
      <c r="B20" s="44"/>
      <c r="C20" s="44"/>
      <c r="D20" s="44"/>
    </row>
    <row r="21" spans="1:4" ht="6.6" customHeight="1" x14ac:dyDescent="0.25"/>
    <row r="22" spans="1:4" ht="21" x14ac:dyDescent="0.25">
      <c r="A22" s="15" t="s">
        <v>26</v>
      </c>
      <c r="B22" s="14">
        <v>3.5000000000000003E-2</v>
      </c>
      <c r="C22" s="20">
        <f>ROUND(B22*D6,0)</f>
        <v>239533</v>
      </c>
    </row>
    <row r="23" spans="1:4" ht="21" x14ac:dyDescent="0.25">
      <c r="A23" s="15" t="s">
        <v>27</v>
      </c>
      <c r="B23" s="14" t="s">
        <v>28</v>
      </c>
      <c r="C23" s="20">
        <f>C22*100/114</f>
        <v>210116.66666666666</v>
      </c>
    </row>
    <row r="24" spans="1:4" ht="21" x14ac:dyDescent="0.25">
      <c r="A24" s="15" t="s">
        <v>29</v>
      </c>
      <c r="B24" s="14">
        <v>0.14000000000000001</v>
      </c>
      <c r="C24" s="20">
        <f>C23*B24</f>
        <v>29416.333333333336</v>
      </c>
    </row>
    <row r="25" spans="1:4" ht="21" x14ac:dyDescent="0.25">
      <c r="A25" s="15" t="s">
        <v>20</v>
      </c>
      <c r="B25" s="14">
        <v>0.05</v>
      </c>
      <c r="C25" s="20">
        <f>B25*C23</f>
        <v>10505.833333333334</v>
      </c>
    </row>
    <row r="26" spans="1:4" ht="26.25" x14ac:dyDescent="0.25">
      <c r="A26" s="15" t="s">
        <v>30</v>
      </c>
      <c r="B26" s="21"/>
      <c r="C26" s="22">
        <f>ROUND(C22-C25,0)</f>
        <v>229027</v>
      </c>
    </row>
    <row r="27" spans="1:4" ht="6.6" customHeight="1" x14ac:dyDescent="0.25"/>
    <row r="28" spans="1:4" ht="21" x14ac:dyDescent="0.35">
      <c r="A28" s="43" t="s">
        <v>31</v>
      </c>
      <c r="B28" s="44"/>
      <c r="C28" s="44"/>
      <c r="D28" s="44"/>
    </row>
    <row r="29" spans="1:4" ht="6.6" customHeight="1" x14ac:dyDescent="0.25"/>
    <row r="30" spans="1:4" s="9" customFormat="1" ht="21" customHeight="1" x14ac:dyDescent="0.25">
      <c r="A30" s="23" t="s">
        <v>18</v>
      </c>
      <c r="B30" s="10"/>
      <c r="C30" s="15" t="s">
        <v>17</v>
      </c>
      <c r="D30" s="14">
        <v>5.0000000000000001E-3</v>
      </c>
    </row>
    <row r="31" spans="1:4" s="9" customFormat="1" ht="21" customHeight="1" x14ac:dyDescent="0.25">
      <c r="A31" s="15" t="s">
        <v>32</v>
      </c>
      <c r="B31" s="24">
        <f>D30*D6</f>
        <v>34219</v>
      </c>
      <c r="C31" s="15"/>
      <c r="D31" s="14"/>
    </row>
    <row r="32" spans="1:4" s="9" customFormat="1" ht="21" customHeight="1" x14ac:dyDescent="0.25">
      <c r="A32" s="25" t="s">
        <v>33</v>
      </c>
      <c r="B32" s="10"/>
      <c r="C32" s="15" t="s">
        <v>17</v>
      </c>
      <c r="D32" s="14">
        <v>0</v>
      </c>
    </row>
    <row r="33" spans="1:4" s="9" customFormat="1" ht="21" customHeight="1" x14ac:dyDescent="0.25">
      <c r="A33" s="15" t="s">
        <v>32</v>
      </c>
      <c r="B33" s="24">
        <f>D32*D6</f>
        <v>0</v>
      </c>
      <c r="C33" s="15"/>
      <c r="D33" s="14"/>
    </row>
    <row r="34" spans="1:4" s="9" customFormat="1" ht="21" customHeight="1" x14ac:dyDescent="0.25">
      <c r="A34" s="23" t="s">
        <v>24</v>
      </c>
      <c r="B34" s="10"/>
      <c r="C34" s="15" t="s">
        <v>17</v>
      </c>
      <c r="D34" s="14">
        <v>2.5000000000000001E-3</v>
      </c>
    </row>
    <row r="35" spans="1:4" s="9" customFormat="1" ht="21" customHeight="1" x14ac:dyDescent="0.25">
      <c r="A35" s="15" t="s">
        <v>32</v>
      </c>
      <c r="B35" s="24">
        <f>D34*D6</f>
        <v>17109.5</v>
      </c>
      <c r="C35" s="15"/>
      <c r="D35" s="14"/>
    </row>
    <row r="36" spans="1:4" s="9" customFormat="1" ht="21" customHeight="1" x14ac:dyDescent="0.25">
      <c r="A36" s="23" t="s">
        <v>34</v>
      </c>
      <c r="B36" s="10"/>
      <c r="C36" s="15" t="s">
        <v>17</v>
      </c>
      <c r="D36" s="14">
        <v>0</v>
      </c>
    </row>
    <row r="37" spans="1:4" s="9" customFormat="1" ht="21" customHeight="1" x14ac:dyDescent="0.25">
      <c r="A37" s="15" t="s">
        <v>32</v>
      </c>
      <c r="B37" s="24">
        <f>D36*D6</f>
        <v>0</v>
      </c>
      <c r="C37" s="15"/>
      <c r="D37" s="14"/>
    </row>
    <row r="38" spans="1:4" ht="6.6" customHeight="1" x14ac:dyDescent="0.25"/>
    <row r="39" spans="1:4" ht="21" x14ac:dyDescent="0.35">
      <c r="A39" s="45" t="s">
        <v>35</v>
      </c>
      <c r="B39" s="46"/>
      <c r="C39" s="46"/>
      <c r="D39" s="46"/>
    </row>
    <row r="40" spans="1:4" ht="6.6" customHeight="1" x14ac:dyDescent="0.25"/>
    <row r="41" spans="1:4" s="9" customFormat="1" ht="21" customHeight="1" x14ac:dyDescent="0.25">
      <c r="A41" s="26" t="s">
        <v>36</v>
      </c>
      <c r="B41" s="27" t="s">
        <v>37</v>
      </c>
      <c r="C41" s="26" t="s">
        <v>36</v>
      </c>
      <c r="D41" s="27" t="s">
        <v>37</v>
      </c>
    </row>
    <row r="42" spans="1:4" s="30" customFormat="1" ht="23.45" customHeight="1" x14ac:dyDescent="0.25">
      <c r="A42" s="6" t="s">
        <v>38</v>
      </c>
      <c r="B42" s="28"/>
      <c r="C42" s="29" t="s">
        <v>39</v>
      </c>
      <c r="D42" s="17"/>
    </row>
    <row r="43" spans="1:4" s="30" customFormat="1" ht="23.45" customHeight="1" x14ac:dyDescent="0.25">
      <c r="A43" s="15" t="s">
        <v>40</v>
      </c>
      <c r="B43" s="28"/>
      <c r="C43" s="29" t="s">
        <v>41</v>
      </c>
      <c r="D43" s="17"/>
    </row>
    <row r="44" spans="1:4" s="30" customFormat="1" ht="23.45" customHeight="1" x14ac:dyDescent="0.25">
      <c r="A44" s="6" t="s">
        <v>42</v>
      </c>
      <c r="B44" s="28"/>
      <c r="C44" s="6"/>
      <c r="D44" s="31"/>
    </row>
    <row r="45" spans="1:4" s="30" customFormat="1" ht="23.45" customHeight="1" x14ac:dyDescent="0.25">
      <c r="A45" s="6" t="s">
        <v>43</v>
      </c>
      <c r="B45" s="28"/>
      <c r="C45" s="6"/>
      <c r="D45" s="17"/>
    </row>
    <row r="46" spans="1:4" s="30" customFormat="1" ht="23.45" customHeight="1" x14ac:dyDescent="0.25">
      <c r="A46" s="6" t="s">
        <v>44</v>
      </c>
      <c r="B46" s="28"/>
      <c r="C46" s="6"/>
      <c r="D46" s="17"/>
    </row>
    <row r="47" spans="1:4" s="30" customFormat="1" ht="23.45" customHeight="1" x14ac:dyDescent="0.25">
      <c r="A47" s="6" t="s">
        <v>45</v>
      </c>
      <c r="B47" s="28"/>
      <c r="C47" s="32"/>
      <c r="D47" s="31"/>
    </row>
    <row r="48" spans="1:4" ht="6.6" customHeight="1" x14ac:dyDescent="0.25"/>
    <row r="49" spans="1:4" ht="28.5" x14ac:dyDescent="0.25">
      <c r="A49" s="33" t="s">
        <v>46</v>
      </c>
      <c r="B49" s="34"/>
      <c r="C49" s="33" t="s">
        <v>47</v>
      </c>
      <c r="D49" s="35"/>
    </row>
    <row r="50" spans="1:4" ht="21" customHeight="1" x14ac:dyDescent="0.25">
      <c r="A50" s="36"/>
      <c r="B50" s="37"/>
      <c r="C50" s="36"/>
      <c r="D50" s="38"/>
    </row>
    <row r="51" spans="1:4" ht="21.75" thickBot="1" x14ac:dyDescent="0.3">
      <c r="A51" s="39"/>
      <c r="B51" s="40"/>
      <c r="C51" s="41"/>
      <c r="D51" s="42"/>
    </row>
    <row r="52" spans="1:4" ht="15.75" thickTop="1" x14ac:dyDescent="0.25"/>
  </sheetData>
  <mergeCells count="5">
    <mergeCell ref="A3:D3"/>
    <mergeCell ref="A10:D10"/>
    <mergeCell ref="A20:D20"/>
    <mergeCell ref="A28:D28"/>
    <mergeCell ref="A39:D39"/>
  </mergeCells>
  <printOptions horizontalCentered="1"/>
  <pageMargins left="0" right="0" top="0" bottom="0" header="0.5" footer="0.5"/>
  <pageSetup scale="7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38100</xdr:colOff>
                    <xdr:row>0</xdr:row>
                    <xdr:rowOff>57150</xdr:rowOff>
                  </from>
                  <to>
                    <xdr:col>3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47625</xdr:colOff>
                    <xdr:row>1</xdr:row>
                    <xdr:rowOff>57150</xdr:rowOff>
                  </from>
                  <to>
                    <xdr:col>3</xdr:col>
                    <xdr:colOff>285750</xdr:colOff>
                    <xdr:row>1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شاشة العمولة</vt:lpstr>
      <vt:lpstr>فورم اعتماد العمولة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AGIBA</dc:creator>
  <cp:lastModifiedBy>AHMED AGIBA</cp:lastModifiedBy>
  <dcterms:created xsi:type="dcterms:W3CDTF">2026-06-09T14:44:20Z</dcterms:created>
  <dcterms:modified xsi:type="dcterms:W3CDTF">2026-06-12T15:24:33Z</dcterms:modified>
</cp:coreProperties>
</file>